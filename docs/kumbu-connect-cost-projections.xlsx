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ssumptions" sheetId="2" state="visible" r:id="rId2"/>
    <sheet xmlns:r="http://schemas.openxmlformats.org/officeDocument/2006/relationships" name="Unit costs" sheetId="3" state="visible" r:id="rId3"/>
    <sheet xmlns:r="http://schemas.openxmlformats.org/officeDocument/2006/relationships" name="Scenarios" sheetId="4" state="visible" r:id="rId4"/>
    <sheet xmlns:r="http://schemas.openxmlformats.org/officeDocument/2006/relationships" name="Monthly matrix" sheetId="5" state="visible" r:id="rId5"/>
    <sheet xmlns:r="http://schemas.openxmlformats.org/officeDocument/2006/relationships" name="Annual matrix" sheetId="6" state="visible" r:id="rId6"/>
    <sheet xmlns:r="http://schemas.openxmlformats.org/officeDocument/2006/relationships" name="Matched growth" sheetId="7" state="visible" r:id="rId7"/>
    <sheet xmlns:r="http://schemas.openxmlformats.org/officeDocument/2006/relationships" name="Sensitivity" sheetId="8" state="visible" r:id="rId8"/>
    <sheet xmlns:r="http://schemas.openxmlformats.org/officeDocument/2006/relationships" name="One-time setup" sheetId="9" state="visible" r:id="rId9"/>
    <sheet xmlns:r="http://schemas.openxmlformats.org/officeDocument/2006/relationships" name="Notes" sheetId="10" state="visible" r:id="rId10"/>
  </sheets>
  <definedNames>
    <definedName name="subscribers_per_cbo">'Assumptions'!$C$7</definedName>
    <definedName name="checkins_per_year">'Assumptions'!$C$8</definedName>
    <definedName name="opening_segments">'Assumptions'!$C$9</definedName>
    <definedName name="followup_segments">'Assumptions'!$C$10</definedName>
    <definedName name="inbound_segments_if_complete">'Assumptions'!$C$11</definedName>
    <definedName name="completion_rate">'Assumptions'!$C$12</definedName>
    <definedName name="pages_per_cbo_month">'Assumptions'!$C$15</definedName>
    <definedName name="refresh_days">'Assumptions'!$C$16</definedName>
    <definedName name="searches_per_refresh">'Assumptions'!$C$17</definedName>
    <definedName name="storage_mb_per_cbo">'Assumptions'!$C$18</definedName>
    <definedName name="cbo_http_requests">'Assumptions'!$C$19</definedName>
    <definedName name="geocode_updates_per_cbo">'Assumptions'!$C$20</definedName>
    <definedName name="firestore_writes_per_cbo">'Assumptions'!$C$21</definedName>
    <definedName name="firestore_reads_per_cbo">'Assumptions'!$C$22</definedName>
    <definedName name="claude_per_cbo">'Assumptions'!$C$23</definedName>
    <definedName name="map_loads_per_funder">'Assumptions'!$C$26</definedName>
    <definedName name="ai_searches_per_funder">'Assumptions'!$C$27</definedName>
    <definedName name="questions_per_funder">'Assumptions'!$C$28</definedName>
    <definedName name="audits_per_funder">'Assumptions'!$C$29</definedName>
    <definedName name="searches_per_audit">'Assumptions'!$C$30</definedName>
    <definedName name="funder_http_requests">'Assumptions'!$C$31</definedName>
    <definedName name="egress_mb_per_funder">'Assumptions'!$C$32</definedName>
    <definedName name="doc_input_tokens">'Assumptions'!$C$35</definedName>
    <definedName name="doc_output_tokens">'Assumptions'!$C$36</definedName>
    <definedName name="research_input_tokens">'Assumptions'!$C$37</definedName>
    <definedName name="research_output_tokens">'Assumptions'!$C$38</definedName>
    <definedName name="interpret_input_tokens">'Assumptions'!$C$39</definedName>
    <definedName name="interpret_output_tokens">'Assumptions'!$C$40</definedName>
    <definedName name="rank_input_tokens">'Assumptions'!$C$41</definedName>
    <definedName name="rank_output_tokens">'Assumptions'!$C$42</definedName>
    <definedName name="question_input_tokens">'Assumptions'!$C$43</definedName>
    <definedName name="question_output_tokens">'Assumptions'!$C$44</definedName>
    <definedName name="sms_input_tokens">'Assumptions'!$C$45</definedName>
    <definedName name="sms_output_tokens">'Assumptions'!$C$46</definedName>
    <definedName name="sms_ai_share">'Assumptions'!$C$47</definedName>
    <definedName name="audit_input_tokens">'Assumptions'!$C$48</definedName>
    <definedName name="audit_output_tokens">'Assumptions'!$C$49</definedName>
    <definedName name="page_vcpu_seconds">'Assumptions'!$C$50</definedName>
    <definedName name="request_vcpu_seconds">'Assumptions'!$C$51</definedName>
    <definedName name="memory_gib">'Assumptions'!$C$52</definedName>
    <definedName name="min_instances">'Assumptions'!$C$53</definedName>
    <definedName name="price_kenya_sms">'Assumptions'!$C$56</definedName>
    <definedName name="price_inbound_sms">'Assumptions'!$C$57</definedName>
    <definedName name="price_phone_number">'Assumptions'!$C$58</definedName>
    <definedName name="phone_numbers">'Assumptions'!$C$59</definedName>
    <definedName name="price_azure_page">'Assumptions'!$C$60</definedName>
    <definedName name="price_gemini_in">'Assumptions'!$C$61</definedName>
    <definedName name="price_gemini_out">'Assumptions'!$C$62</definedName>
    <definedName name="price_openai_in">'Assumptions'!$C$63</definedName>
    <definedName name="price_openai_out">'Assumptions'!$C$64</definedName>
    <definedName name="price_search_1k">'Assumptions'!$C$65</definedName>
    <definedName name="price_map_1k">'Assumptions'!$C$66</definedName>
    <definedName name="price_geocode_1k">'Assumptions'!$C$67</definedName>
    <definedName name="price_storage_gb">'Assumptions'!$C$68</definedName>
    <definedName name="price_egress_gb">'Assumptions'!$C$69</definedName>
    <definedName name="price_vcpu">'Assumptions'!$C$70</definedName>
    <definedName name="price_gib">'Assumptions'!$C$71</definedName>
    <definedName name="price_million_requests">'Assumptions'!$C$72</definedName>
    <definedName name="price_warm_instance">'Assumptions'!$C$73</definedName>
    <definedName name="price_sql_micro">'Assumptions'!$C$74</definedName>
    <definedName name="price_sql_small">'Assumptions'!$C$75</definedName>
    <definedName name="price_sql_std">'Assumptions'!$C$76</definedName>
    <definedName name="price_secrets">'Assumptions'!$C$77</definedName>
    <definedName name="price_misc">'Assumptions'!$C$78</definedName>
    <definedName name="price_fs_write">'Assumptions'!$C$79</definedName>
    <definedName name="price_fs_read">'Assumptions'!$C$80</definedName>
    <definedName name="free_search">'Assumptions'!$C$83</definedName>
    <definedName name="free_maps">'Assumptions'!$C$84</definedName>
    <definedName name="free_geocode">'Assumptions'!$C$85</definedName>
    <definedName name="free_vcpu">'Assumptions'!$C$86</definedName>
    <definedName name="free_gib">'Assumptions'!$C$87</definedName>
    <definedName name="free_requests">'Assumptions'!$C$88</definedName>
    <definedName name="free_storage_gb">'Assumptions'!$C$89</definedName>
    <definedName name="free_egress_gb">'Assumptions'!$C$90</definedName>
    <definedName name="free_fs_writes">'Assumptions'!$C$91</definedName>
    <definedName name="free_fs_reads">'Assumptions'!$C$92</definedName>
    <definedName name="step_small_at">'Assumptions'!$C$93</definedName>
    <definedName name="step_std_at">'Assumptions'!$C$94</definedName>
    <definedName name="onboard_segments">'Assumptions'!$C$97</definedName>
    <definedName name="initial_pages">'Assumptions'!$C$98</definedName>
    <definedName name="cbo_tier_1">'Assumptions'!$C$103</definedName>
    <definedName name="funder_tier_1">'Assumptions'!$D$103</definedName>
    <definedName name="cbo_tier_2">'Assumptions'!$C$104</definedName>
    <definedName name="funder_tier_2">'Assumptions'!$D$104</definedName>
    <definedName name="cbo_tier_3">'Assumptions'!$C$105</definedName>
    <definedName name="funder_tier_3">'Assumptions'!$D$105</definedName>
    <definedName name="cbo_tier_4">'Assumptions'!$C$106</definedName>
    <definedName name="funder_tier_4">'Assumptions'!$D$106</definedName>
    <definedName name="cbo_tier_5">'Assumptions'!$C$107</definedName>
    <definedName name="funder_tier_5">'Assumptions'!$D$107</definedName>
    <definedName name="cbo_tier_6">'Assumptions'!$C$108</definedName>
    <definedName name="funder_tier_6">'Assumptions'!$D$108</definedName>
    <definedName name="cbo_tiers">Assumptions!$C$103:$C$108</definedName>
    <definedName name="funder_tiers">Assumptions!$D$103:$D$108</definedName>
    <definedName name="sms_out_segments_per_cbo">'Unit costs'!$C$5</definedName>
    <definedName name="sms_in_segments_per_cbo">'Unit costs'!$C$6</definedName>
    <definedName name="sms_out_cost_per_cbo">'Unit costs'!$C$7</definedName>
    <definedName name="sms_in_cost_per_cbo">'Unit costs'!$C$8</definedName>
    <definedName name="azure_cost_per_cbo">'Unit costs'!$C$9</definedName>
    <definedName name="gemini_doc_cost_per_page">'Unit costs'!$C$10</definedName>
    <definedName name="gemini_doc_cost_per_cbo">'Unit costs'!$C$11</definedName>
    <definedName name="refreshes_per_cbo_month">'Unit costs'!$C$12</definedName>
    <definedName name="gemini_research_cost_per_cbo">'Unit costs'!$C$13</definedName>
    <definedName name="gemini_sms_cost_per_cbo">'Unit costs'!$C$14</definedName>
    <definedName name="claude_cost_per_cbo">'Unit costs'!$C$15</definedName>
    <definedName name="variable_cost_per_cbo">'Unit costs'!$C$16</definedName>
    <definedName name="gemini_cost_per_search">'Unit costs'!$C$19</definedName>
    <definedName name="gemini_search_cost_per_funder">'Unit costs'!$C$20</definedName>
    <definedName name="gemini_question_cost_per_funder">'Unit costs'!$C$21</definedName>
    <definedName name="openai_cost_per_funder">'Unit costs'!$C$22</definedName>
    <definedName name="egress_cost_per_funder">'Unit costs'!$C$23</definedName>
    <definedName name="variable_cost_per_funder">'Unit costs'!$C$24</definedName>
    <definedName name="platform_fixed_fees">'Unit costs'!$C$27</definedName>
    <definedName name="platform_floor_small">'Unit costs'!$C$28</definedName>
    <definedName name="onboard_sms_per_cbo">'Unit costs'!$C$31</definedName>
    <definedName name="initial_docs_per_cbo">'Unit costs'!$C$32</definedName>
    <definedName name="initial_research_per_cbo">'Unit costs'!$C$33</definedName>
    <definedName name="onetime_per_cbo">'Unit costs'!$C$34</definedName>
    <definedName name="scen_cbo">Scenarios!$A$6:$A$41</definedName>
    <definedName name="scen_funder">Scenarios!$B$6:$B$41</definedName>
    <definedName name="scen_monthly">Scenarios!$V$6:$V$41</definedName>
    <definedName name="scen_sms">Scenarios!$I$6:$J$41</definedName>
    <definedName name="sens_checkins">'Sensitivity'!$B$4</definedName>
    <definedName name="sens_subscribers">'Sensitivity'!$B$5</definedName>
    <definedName name="sens_segment_factor">'Sensitivity'!$B$6</definedName>
    <definedName name="sens_map_loads">'Sensitivity'!$B$7</definedName>
    <definedName name="sens_searches">'Sensitivity'!$B$8</definedName>
    <definedName name="sens_gemini_mult">'Sensitivity'!$B$9</definedName>
    <definedName name="_xlnm.Print_Titles" localSheetId="0">'Overview'!$1:$2</definedName>
    <definedName name="_xlnm.Print_Titles" localSheetId="1">'Assumptions'!$1:$4</definedName>
    <definedName name="_xlnm.Print_Titles" localSheetId="2">'Unit costs'!$1:$2</definedName>
    <definedName name="_xlnm._FilterDatabase" localSheetId="3" hidden="1">'Scenarios'!$A$5:$AD$41</definedName>
    <definedName name="_xlnm.Print_Titles" localSheetId="3">'Scenarios'!$4:$5</definedName>
    <definedName name="_xlnm.Print_Titles" localSheetId="4">'Monthly matrix'!$1:$5</definedName>
    <definedName name="_xlnm.Print_Titles" localSheetId="5">'Annual matrix'!$1:$5</definedName>
    <definedName name="_xlnm.Print_Titles" localSheetId="6">'Matched growth'!$1:$4</definedName>
    <definedName name="_xlnm.Print_Titles" localSheetId="7">'Sensitivity'!$11:$11</definedName>
    <definedName name="_xlnm.Print_Titles" localSheetId="9">'Notes'!$1:$2</definedName>
  </definedNames>
  <calcPr calcId="124519" calcMode="auto" fullCalcOnLoad="1"/>
</workbook>
</file>

<file path=xl/styles.xml><?xml version="1.0" encoding="utf-8"?>
<styleSheet xmlns="http://schemas.openxmlformats.org/spreadsheetml/2006/main">
  <numFmts count="5">
    <numFmt numFmtId="164" formatCode="&quot;$&quot;#,##0.0000"/>
    <numFmt numFmtId="165" formatCode="&quot;$&quot;#,##0.00"/>
    <numFmt numFmtId="166" formatCode="&quot;$&quot;#,##0"/>
    <numFmt numFmtId="167" formatCode="0.0%"/>
    <numFmt numFmtId="168" formatCode="#,##0.0"/>
  </numFmts>
  <fonts count="12">
    <font>
      <name val="Calibri"/>
      <family val="2"/>
      <color theme="1"/>
      <sz val="11"/>
      <scheme val="minor"/>
    </font>
    <font>
      <name val="Calibri"/>
      <b val="1"/>
      <color rgb="000F4746"/>
      <sz val="22"/>
    </font>
    <font>
      <name val="Calibri"/>
      <color rgb="005C6770"/>
      <sz val="10"/>
    </font>
    <font>
      <name val="Calibri"/>
      <b val="1"/>
      <color rgb="00FFFFFF"/>
      <sz val="10"/>
    </font>
    <font>
      <name val="Calibri"/>
      <b val="1"/>
      <color rgb="00FFFFFF"/>
      <sz val="12"/>
    </font>
    <font>
      <name val="Calibri"/>
      <color rgb="0016302B"/>
      <sz val="11"/>
    </font>
    <font>
      <name val="Calibri"/>
      <b val="1"/>
      <color rgb="0016302B"/>
      <sz val="11"/>
    </font>
    <font>
      <name val="Calibri"/>
      <i val="1"/>
      <color rgb="005C6770"/>
      <sz val="9"/>
    </font>
    <font>
      <name val="Calibri"/>
      <b val="1"/>
      <color rgb="00FFFFFF"/>
      <sz val="11"/>
    </font>
    <font>
      <name val="Calibri"/>
      <b val="1"/>
      <color rgb="0016302B"/>
      <sz val="12"/>
    </font>
    <font>
      <name val="Calibri"/>
      <b val="1"/>
      <color rgb="000F4746"/>
      <sz val="14"/>
    </font>
    <font>
      <name val="Calibri"/>
      <color rgb="000A7A73"/>
      <sz val="11"/>
      <u val="single"/>
    </font>
  </fonts>
  <fills count="13">
    <fill>
      <patternFill/>
    </fill>
    <fill>
      <patternFill patternType="gray125"/>
    </fill>
    <fill>
      <patternFill patternType="solid">
        <fgColor rgb="000F4746"/>
      </patternFill>
    </fill>
    <fill>
      <patternFill patternType="solid">
        <fgColor rgb="00FFF4CC"/>
      </patternFill>
    </fill>
    <fill>
      <patternFill patternType="solid">
        <fgColor rgb="00E7F3F1"/>
      </patternFill>
    </fill>
    <fill>
      <patternFill patternType="solid">
        <fgColor rgb="0016302B"/>
      </patternFill>
    </fill>
    <fill>
      <patternFill patternType="solid">
        <fgColor rgb="008C5A12"/>
      </patternFill>
    </fill>
    <fill>
      <patternFill patternType="solid">
        <fgColor rgb="003D6B99"/>
      </patternFill>
    </fill>
    <fill>
      <patternFill patternType="solid">
        <fgColor rgb="006B5B95"/>
      </patternFill>
    </fill>
    <fill>
      <patternFill patternType="solid">
        <fgColor rgb="003E6B52"/>
      </patternFill>
    </fill>
    <fill>
      <patternFill patternType="solid">
        <fgColor rgb="00555555"/>
      </patternFill>
    </fill>
    <fill>
      <patternFill patternType="solid">
        <fgColor rgb="00F7FAF9"/>
      </patternFill>
    </fill>
    <fill>
      <patternFill patternType="solid">
        <fgColor rgb="00FFFFFF"/>
      </patternFill>
    </fill>
  </fills>
  <borders count="7">
    <border>
      <left/>
      <right/>
      <top/>
      <bottom/>
      <diagonal/>
    </border>
    <border>
      <left style="thin">
        <color rgb="00E0C36A"/>
      </left>
      <right style="thin">
        <color rgb="00E0C36A"/>
      </right>
      <top style="thin">
        <color rgb="00E0C36A"/>
      </top>
      <bottom style="thin">
        <color rgb="00E0C36A"/>
      </bottom>
    </border>
    <border>
      <left style="thin">
        <color rgb="00D5E0DC"/>
      </left>
      <right style="thin">
        <color rgb="00D5E0DC"/>
      </right>
      <top style="thin">
        <color rgb="00D5E0DC"/>
      </top>
      <bottom style="thin">
        <color rgb="00D5E0DC"/>
      </bottom>
    </border>
    <border>
      <left/>
      <right/>
      <top style="thin">
        <color rgb="00D5E0DC"/>
      </top>
      <bottom/>
      <diagonal/>
    </border>
    <border>
      <left/>
      <right style="thin">
        <color rgb="00D5E0DC"/>
      </right>
      <top style="thin">
        <color rgb="00D5E0DC"/>
      </top>
      <bottom/>
      <diagonal/>
    </border>
    <border>
      <left/>
      <right/>
      <top style="thin">
        <color rgb="00D5E0DC"/>
      </top>
      <bottom style="thin">
        <color rgb="00D5E0DC"/>
      </bottom>
      <diagonal/>
    </border>
    <border>
      <left/>
      <right style="thin">
        <color rgb="00D5E0DC"/>
      </right>
      <top style="thin">
        <color rgb="00D5E0DC"/>
      </top>
      <bottom style="thin">
        <color rgb="00D5E0DC"/>
      </bottom>
      <diagonal/>
    </border>
  </borders>
  <cellStyleXfs count="1">
    <xf numFmtId="0" fontId="0" fillId="0" borderId="0"/>
  </cellStyleXfs>
  <cellXfs count="6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xf>
    <xf numFmtId="0" fontId="5" fillId="4" borderId="2" applyAlignment="1" pivotButton="0" quotePrefix="0" xfId="0">
      <alignment horizontal="left" vertical="center" wrapText="1"/>
    </xf>
    <xf numFmtId="165" fontId="10" fillId="4" borderId="2" applyAlignment="1" pivotButton="0" quotePrefix="0" xfId="0">
      <alignment horizontal="center" vertical="center" wrapText="1"/>
    </xf>
    <xf numFmtId="0" fontId="3" fillId="2" borderId="2" applyAlignment="1" pivotButton="0" quotePrefix="0" xfId="0">
      <alignment horizontal="center" vertical="center" wrapText="1"/>
    </xf>
    <xf numFmtId="3" fontId="5" fillId="11" borderId="2" applyAlignment="1" pivotButton="0" quotePrefix="0" xfId="0">
      <alignment horizontal="center" vertical="center" wrapText="1"/>
    </xf>
    <xf numFmtId="165" fontId="9" fillId="11" borderId="2" applyAlignment="1" pivotButton="0" quotePrefix="0" xfId="0">
      <alignment horizontal="center" vertical="center" wrapText="1"/>
    </xf>
    <xf numFmtId="166" fontId="5" fillId="11" borderId="2" applyAlignment="1" pivotButton="0" quotePrefix="0" xfId="0">
      <alignment horizontal="center" vertical="center" wrapText="1"/>
    </xf>
    <xf numFmtId="165" fontId="5" fillId="11" borderId="2" applyAlignment="1" pivotButton="0" quotePrefix="0" xfId="0">
      <alignment horizontal="center" vertical="center" wrapText="1"/>
    </xf>
    <xf numFmtId="167" fontId="5" fillId="11" borderId="2" applyAlignment="1" pivotButton="0" quotePrefix="0" xfId="0">
      <alignment horizontal="center" vertical="center" wrapText="1"/>
    </xf>
    <xf numFmtId="3" fontId="5" fillId="12" borderId="2" applyAlignment="1" pivotButton="0" quotePrefix="0" xfId="0">
      <alignment horizontal="center" vertical="center" wrapText="1"/>
    </xf>
    <xf numFmtId="165" fontId="9" fillId="12" borderId="2" applyAlignment="1" pivotButton="0" quotePrefix="0" xfId="0">
      <alignment horizontal="center" vertical="center" wrapText="1"/>
    </xf>
    <xf numFmtId="166" fontId="5" fillId="12" borderId="2" applyAlignment="1" pivotButton="0" quotePrefix="0" xfId="0">
      <alignment horizontal="center" vertical="center" wrapText="1"/>
    </xf>
    <xf numFmtId="165" fontId="5" fillId="12" borderId="2" applyAlignment="1" pivotButton="0" quotePrefix="0" xfId="0">
      <alignment horizontal="center" vertical="center" wrapText="1"/>
    </xf>
    <xf numFmtId="167" fontId="5" fillId="12" borderId="2" applyAlignment="1" pivotButton="0" quotePrefix="0" xfId="0">
      <alignment horizontal="center" vertical="center" wrapText="1"/>
    </xf>
    <xf numFmtId="0" fontId="3" fillId="5" borderId="2" applyAlignment="1" pivotButton="0" quotePrefix="0" xfId="0">
      <alignment horizontal="center" vertical="center" wrapText="1"/>
    </xf>
    <xf numFmtId="3" fontId="3" fillId="5" borderId="2" applyAlignment="1" pivotButton="0" quotePrefix="0" xfId="0">
      <alignment horizontal="center" vertical="center" wrapText="1"/>
    </xf>
    <xf numFmtId="3" fontId="8" fillId="2" borderId="2" applyAlignment="1" pivotButton="0" quotePrefix="0" xfId="0">
      <alignment horizontal="center" vertical="center" wrapText="1"/>
    </xf>
    <xf numFmtId="0" fontId="5" fillId="0" borderId="0" applyAlignment="1" pivotButton="0" quotePrefix="0" xfId="0">
      <alignment horizontal="left" vertical="top" wrapText="1"/>
    </xf>
    <xf numFmtId="0" fontId="3" fillId="2" borderId="0" applyAlignment="1" pivotButton="0" quotePrefix="0" xfId="0">
      <alignment horizontal="center" vertical="center" wrapText="1"/>
    </xf>
    <xf numFmtId="0" fontId="4" fillId="2" borderId="0" applyAlignment="1" pivotButton="0" quotePrefix="0" xfId="0">
      <alignment horizontal="left" vertical="center" indent="1"/>
    </xf>
    <xf numFmtId="0" fontId="4" fillId="2" borderId="0" pivotButton="0" quotePrefix="0" xfId="0"/>
    <xf numFmtId="0" fontId="5" fillId="0" borderId="0" applyAlignment="1" pivotButton="0" quotePrefix="0" xfId="0">
      <alignment horizontal="left" vertical="center" wrapText="1"/>
    </xf>
    <xf numFmtId="3" fontId="6" fillId="3" borderId="1" applyAlignment="1" pivotButton="0" quotePrefix="0" xfId="0">
      <alignment horizontal="center" vertical="center" wrapText="1"/>
    </xf>
    <xf numFmtId="0" fontId="2" fillId="0" borderId="0" applyAlignment="1" pivotButton="0" quotePrefix="0" xfId="0">
      <alignment horizontal="center" vertical="center" wrapText="1"/>
    </xf>
    <xf numFmtId="9" fontId="6" fillId="3" borderId="1" applyAlignment="1" pivotButton="0" quotePrefix="0" xfId="0">
      <alignment horizontal="center" vertical="center" wrapText="1"/>
    </xf>
    <xf numFmtId="4" fontId="6" fillId="3" borderId="1" applyAlignment="1" pivotButton="0" quotePrefix="0" xfId="0">
      <alignment horizontal="center" vertical="center" wrapText="1"/>
    </xf>
    <xf numFmtId="164" fontId="6" fillId="3" borderId="1" applyAlignment="1" pivotButton="0" quotePrefix="0" xfId="0">
      <alignment horizontal="center" vertical="center" wrapText="1"/>
    </xf>
    <xf numFmtId="165" fontId="6" fillId="3" borderId="1" applyAlignment="1" pivotButton="0" quotePrefix="0" xfId="0">
      <alignment horizontal="center" vertical="center" wrapText="1"/>
    </xf>
    <xf numFmtId="0" fontId="3" fillId="2" borderId="0" applyAlignment="1" pivotButton="0" quotePrefix="0" xfId="0">
      <alignment horizontal="left" vertical="center" wrapText="1"/>
    </xf>
    <xf numFmtId="0" fontId="4" fillId="2" borderId="0" applyAlignment="1" pivotButton="0" quotePrefix="0" xfId="0">
      <alignment horizontal="left" vertical="center" wrapText="1"/>
    </xf>
    <xf numFmtId="0" fontId="0" fillId="2" borderId="0" pivotButton="0" quotePrefix="0" xfId="0"/>
    <xf numFmtId="4"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165" fontId="5" fillId="4" borderId="2" applyAlignment="1" pivotButton="0" quotePrefix="0" xfId="0">
      <alignment horizontal="center" vertical="center" wrapText="1"/>
    </xf>
    <xf numFmtId="0" fontId="0" fillId="5" borderId="2" applyAlignment="1" pivotButton="0" quotePrefix="0" xfId="0">
      <alignment horizontal="center" vertical="center" wrapText="1"/>
    </xf>
    <xf numFmtId="0" fontId="0" fillId="2" borderId="2" applyAlignment="1" pivotButton="0" quotePrefix="0" xfId="0">
      <alignment horizontal="center" vertical="center" wrapText="1"/>
    </xf>
    <xf numFmtId="0" fontId="3" fillId="6" borderId="2" applyAlignment="1" pivotButton="0" quotePrefix="0" xfId="0">
      <alignment horizontal="center" vertical="center" wrapText="1"/>
    </xf>
    <xf numFmtId="0" fontId="0" fillId="6" borderId="2" applyAlignment="1" pivotButton="0" quotePrefix="0" xfId="0">
      <alignment horizontal="center" vertical="center" wrapText="1"/>
    </xf>
    <xf numFmtId="0" fontId="3" fillId="7" borderId="2" applyAlignment="1" pivotButton="0" quotePrefix="0" xfId="0">
      <alignment horizontal="center" vertical="center" wrapText="1"/>
    </xf>
    <xf numFmtId="0" fontId="0" fillId="7" borderId="2" applyAlignment="1" pivotButton="0" quotePrefix="0" xfId="0">
      <alignment horizontal="center" vertical="center" wrapText="1"/>
    </xf>
    <xf numFmtId="0" fontId="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 fillId="9" borderId="2" applyAlignment="1" pivotButton="0" quotePrefix="0" xfId="0">
      <alignment horizontal="center" vertical="center" wrapText="1"/>
    </xf>
    <xf numFmtId="0" fontId="0"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0" fillId="10" borderId="2" applyAlignment="1" pivotButton="0" quotePrefix="0" xfId="0">
      <alignment horizontal="center" vertical="center" wrapText="1"/>
    </xf>
    <xf numFmtId="165" fontId="6" fillId="11" borderId="2" applyAlignment="1" pivotButton="0" quotePrefix="0" xfId="0">
      <alignment horizontal="center" vertical="center" wrapText="1"/>
    </xf>
    <xf numFmtId="165" fontId="6" fillId="12" borderId="2" applyAlignment="1" pivotButton="0" quotePrefix="0" xfId="0">
      <alignment horizontal="center" vertical="center" wrapText="1"/>
    </xf>
    <xf numFmtId="0" fontId="7" fillId="4" borderId="2" applyAlignment="1" pivotButton="0" quotePrefix="0" xfId="0">
      <alignment horizontal="center" vertical="center" wrapText="1"/>
    </xf>
    <xf numFmtId="166" fontId="9" fillId="12" borderId="2" applyAlignment="1" pivotButton="0" quotePrefix="0" xfId="0">
      <alignment horizontal="center" vertical="center" wrapText="1"/>
    </xf>
    <xf numFmtId="0" fontId="2" fillId="11" borderId="2" applyAlignment="1" pivotButton="0" quotePrefix="0" xfId="0">
      <alignment horizontal="center" vertical="center" wrapText="1"/>
    </xf>
    <xf numFmtId="0" fontId="0" fillId="0" borderId="5" pivotButton="0" quotePrefix="0" xfId="0"/>
    <xf numFmtId="0" fontId="0" fillId="0" borderId="6" pivotButton="0" quotePrefix="0" xfId="0"/>
    <xf numFmtId="168" fontId="6" fillId="3" borderId="1" applyAlignment="1" pivotButton="0" quotePrefix="0" xfId="0">
      <alignment horizontal="center" vertical="center" wrapText="1"/>
    </xf>
    <xf numFmtId="0" fontId="2" fillId="0" borderId="0" applyAlignment="1" pivotButton="0" quotePrefix="0" xfId="0">
      <alignment horizontal="left" vertical="top"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165" fontId="9" fillId="4" borderId="2" applyAlignment="1" pivotButton="0" quotePrefix="0" xfId="0">
      <alignment horizontal="center" vertical="center" wrapText="1"/>
    </xf>
    <xf numFmtId="0" fontId="4" fillId="2" borderId="0" applyAlignment="1" pivotButton="0" quotePrefix="0" xfId="0">
      <alignment horizontal="left" vertical="center" wrapText="1" indent="1"/>
    </xf>
    <xf numFmtId="0" fontId="5" fillId="4" borderId="0" applyAlignment="1" pivotButton="0" quotePrefix="0" xfId="0">
      <alignment horizontal="left" vertical="top" wrapText="1"/>
    </xf>
  </cellXfs>
  <cellStyles count="1">
    <cellStyle name="Normal" xfId="0" builtinId="0" hidden="0"/>
  </cellStyles>
  <dxfs count="1">
    <dxf>
      <fill>
        <patternFill patternType="solid">
          <fgColor rgb="00F4C7C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Monthly cost when CBOs and funders grow together</a:t>
            </a:r>
          </a:p>
        </rich>
      </tx>
    </title>
    <plotArea>
      <barChart>
        <barDir val="col"/>
        <grouping val="stacked"/>
        <ser>
          <idx val="0"/>
          <order val="0"/>
          <tx>
            <strRef>
              <f>'Matched growth'!B4</f>
            </strRef>
          </tx>
          <spPr>
            <a:solidFill xmlns:a="http://schemas.openxmlformats.org/drawingml/2006/main">
              <a:srgbClr val="0F4746"/>
            </a:solidFill>
            <a:ln xmlns:a="http://schemas.openxmlformats.org/drawingml/2006/main">
              <a:solidFill>
                <a:srgbClr val="0F4746"/>
              </a:solidFill>
              <a:prstDash val="solid"/>
            </a:ln>
          </spPr>
          <cat>
            <numRef>
              <f>'Matched growth'!$A$5:$A$10</f>
            </numRef>
          </cat>
          <val>
            <numRef>
              <f>'Matched growth'!$B$5:$B$10</f>
            </numRef>
          </val>
        </ser>
        <ser>
          <idx val="1"/>
          <order val="1"/>
          <tx>
            <strRef>
              <f>'Matched growth'!C4</f>
            </strRef>
          </tx>
          <spPr>
            <a:solidFill xmlns:a="http://schemas.openxmlformats.org/drawingml/2006/main">
              <a:srgbClr val="7BA39A"/>
            </a:solidFill>
            <a:ln xmlns:a="http://schemas.openxmlformats.org/drawingml/2006/main">
              <a:solidFill>
                <a:srgbClr val="7BA39A"/>
              </a:solidFill>
              <a:prstDash val="solid"/>
            </a:ln>
          </spPr>
          <cat>
            <numRef>
              <f>'Matched growth'!$A$5:$A$10</f>
            </numRef>
          </cat>
          <val>
            <numRef>
              <f>'Matched growth'!$C$5:$C$10</f>
            </numRef>
          </val>
        </ser>
        <ser>
          <idx val="2"/>
          <order val="2"/>
          <tx>
            <strRef>
              <f>'Matched growth'!D4</f>
            </strRef>
          </tx>
          <spPr>
            <a:solidFill xmlns:a="http://schemas.openxmlformats.org/drawingml/2006/main">
              <a:srgbClr val="C47B2B"/>
            </a:solidFill>
            <a:ln xmlns:a="http://schemas.openxmlformats.org/drawingml/2006/main">
              <a:solidFill>
                <a:srgbClr val="C47B2B"/>
              </a:solidFill>
              <a:prstDash val="solid"/>
            </a:ln>
          </spPr>
          <cat>
            <numRef>
              <f>'Matched growth'!$A$5:$A$10</f>
            </numRef>
          </cat>
          <val>
            <numRef>
              <f>'Matched growth'!$D$5:$D$10</f>
            </numRef>
          </val>
        </ser>
        <ser>
          <idx val="3"/>
          <order val="3"/>
          <tx>
            <strRef>
              <f>'Matched growth'!E4</f>
            </strRef>
          </tx>
          <spPr>
            <a:solidFill xmlns:a="http://schemas.openxmlformats.org/drawingml/2006/main">
              <a:srgbClr val="3D6B99"/>
            </a:solidFill>
            <a:ln xmlns:a="http://schemas.openxmlformats.org/drawingml/2006/main">
              <a:solidFill>
                <a:srgbClr val="3D6B99"/>
              </a:solidFill>
              <a:prstDash val="solid"/>
            </a:ln>
          </spPr>
          <cat>
            <numRef>
              <f>'Matched growth'!$A$5:$A$10</f>
            </numRef>
          </cat>
          <val>
            <numRef>
              <f>'Matched growth'!$E$5:$E$10</f>
            </numRef>
          </val>
        </ser>
        <ser>
          <idx val="4"/>
          <order val="4"/>
          <tx>
            <strRef>
              <f>'Matched growth'!F4</f>
            </strRef>
          </tx>
          <spPr>
            <a:solidFill xmlns:a="http://schemas.openxmlformats.org/drawingml/2006/main">
              <a:srgbClr val="6B5B95"/>
            </a:solidFill>
            <a:ln xmlns:a="http://schemas.openxmlformats.org/drawingml/2006/main">
              <a:solidFill>
                <a:srgbClr val="6B5B95"/>
              </a:solidFill>
              <a:prstDash val="solid"/>
            </a:ln>
          </spPr>
          <cat>
            <numRef>
              <f>'Matched growth'!$A$5:$A$10</f>
            </numRef>
          </cat>
          <val>
            <numRef>
              <f>'Matched growth'!$F$5:$F$10</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 per month</a:t>
                </a:r>
              </a:p>
            </rich>
          </tx>
        </title>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12</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ssumptions!B4" TargetMode="External" Id="rId1"/><Relationship Type="http://schemas.openxmlformats.org/officeDocument/2006/relationships/hyperlink" Target="#'Unit costs'!B4" TargetMode="External" Id="rId2"/><Relationship Type="http://schemas.openxmlformats.org/officeDocument/2006/relationships/hyperlink" Target="#'Monthly matrix'!A4" TargetMode="External" Id="rId3"/><Relationship Type="http://schemas.openxmlformats.org/officeDocument/2006/relationships/hyperlink" Target="#'Matched growth'!A4" TargetMode="External" Id="rId4"/><Relationship Type="http://schemas.openxmlformats.org/officeDocument/2006/relationships/hyperlink" Target="#Sensitivity!A4" TargetMode="External" Id="rId5"/><Relationship Type="http://schemas.openxmlformats.org/officeDocument/2006/relationships/hyperlink" Target="#'One-time setup'!A4" TargetMode="External" Id="rId6"/><Relationship Type="http://schemas.openxmlformats.org/officeDocument/2006/relationships/hyperlink" Target="#Notes!B4" TargetMode="External" Id="rId7"/></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F4746"/>
    <outlinePr summaryBelow="1" summaryRight="1"/>
    <pageSetUpPr fitToPage="1"/>
  </sheetPr>
  <dimension ref="A1:G40"/>
  <sheetViews>
    <sheetView showGridLines="0" zoomScale="110" workbookViewId="0">
      <pane ySplit="12" topLeftCell="A13"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8" customWidth="1" min="8" max="8"/>
    <col width="22" customWidth="1" min="9" max="9"/>
  </cols>
  <sheetData>
    <row r="1" ht="32" customHeight="1">
      <c r="A1" s="1" t="inlineStr">
        <is>
          <t>Kumbu Connect cost projections</t>
        </is>
      </c>
    </row>
    <row r="2" ht="34" customHeight="1">
      <c r="A2" s="2" t="inlineStr">
        <is>
          <t>Live production, hosted and running. CBO signup is a Google Form or the in-app form, plus one short SMS link (about $0.31, or $0 with a QR code). That saving is on the One-time setup sheet. The monthly totals below are mostly community check-in texts, and those are unchanged. Yellow cells on Assumptions are the only inputs.</t>
        </is>
      </c>
    </row>
    <row r="4">
      <c r="A4" s="3" t="inlineStr">
        <is>
          <t>Open a sheet</t>
        </is>
      </c>
    </row>
    <row r="5" ht="18" customHeight="1">
      <c r="A5" s="4" t="inlineStr">
        <is>
          <t>Assumptions</t>
        </is>
      </c>
      <c r="B5" s="2" t="inlineStr">
        <is>
          <t>Change panel size, prices, pages, and tiers</t>
        </is>
      </c>
    </row>
    <row r="6" ht="18" customHeight="1">
      <c r="A6" s="4" t="inlineStr">
        <is>
          <t>Unit costs</t>
        </is>
      </c>
      <c r="B6" s="2" t="inlineStr">
        <is>
          <t>What one more CBO costs, and one more funder</t>
        </is>
      </c>
    </row>
    <row r="7" ht="18" customHeight="1">
      <c r="A7" s="4" t="inlineStr">
        <is>
          <t>Monthly matrix</t>
        </is>
      </c>
      <c r="B7" s="2" t="inlineStr">
        <is>
          <t>Full grid of CBO sizes by funder sizes</t>
        </is>
      </c>
    </row>
    <row r="8" ht="18" customHeight="1">
      <c r="A8" s="4" t="inlineStr">
        <is>
          <t>Matched growth</t>
        </is>
      </c>
      <c r="B8" s="2" t="inlineStr">
        <is>
          <t>Both sides grow together, with a chart</t>
        </is>
      </c>
    </row>
    <row r="9" ht="18" customHeight="1">
      <c r="A9" s="4" t="inlineStr">
        <is>
          <t>Sensitivity</t>
        </is>
      </c>
      <c r="B9" s="2" t="inlineStr">
        <is>
          <t>Monthly texts, larger panels, heavier Maps and AI</t>
        </is>
      </c>
    </row>
    <row r="10" ht="18" customHeight="1">
      <c r="A10" s="4" t="inlineStr">
        <is>
          <t>One-time setup</t>
        </is>
      </c>
      <c r="B10" s="2" t="inlineStr">
        <is>
          <t>Cash to onboard up to each tier</t>
        </is>
      </c>
    </row>
    <row r="11" ht="18" customHeight="1">
      <c r="A11" s="4" t="inlineStr">
        <is>
          <t>Notes</t>
        </is>
      </c>
      <c r="B11" s="2" t="inlineStr">
        <is>
          <t>What is included, what is free, what is left out</t>
        </is>
      </c>
    </row>
    <row r="13">
      <c r="A13" s="3" t="inlineStr">
        <is>
          <t>The slope, at the default settings</t>
        </is>
      </c>
    </row>
    <row r="14" ht="28" customHeight="1">
      <c r="A14" s="5" t="inlineStr">
        <is>
          <t>Platform floor, before usage</t>
        </is>
      </c>
      <c r="B14" s="6">
        <f>platform_floor_small</f>
        <v/>
      </c>
      <c r="C14" s="2" t="inlineStr">
        <is>
          <t>Database plus number, secrets, and domain, while both sides are under 200.</t>
        </is>
      </c>
    </row>
    <row r="15" ht="28" customHeight="1">
      <c r="A15" s="5" t="inlineStr">
        <is>
          <t>Each additional active CBO</t>
        </is>
      </c>
      <c r="B15" s="6">
        <f>variable_cost_per_cbo</f>
        <v/>
      </c>
      <c r="C15" s="2" t="inlineStr">
        <is>
          <t>Almost entirely SMS to the community panel. Documents are a few cents.</t>
        </is>
      </c>
    </row>
    <row r="16" ht="28" customHeight="1">
      <c r="A16" s="5" t="inlineStr">
        <is>
          <t>Each additional active funder</t>
        </is>
      </c>
      <c r="B16" s="6">
        <f>variable_cost_per_funder</f>
        <v/>
      </c>
      <c r="C16" s="2" t="inlineStr">
        <is>
          <t>Search, questions, an occasional audit, and a little data transfer. The map is still free at these volumes.</t>
        </is>
      </c>
    </row>
    <row r="18">
      <c r="A18" s="3" t="inlineStr">
        <is>
          <t>When both sides are the same size</t>
        </is>
      </c>
    </row>
    <row r="19" ht="30" customHeight="1">
      <c r="A19" s="7" t="inlineStr">
        <is>
          <t>Active CBOs and funders</t>
        </is>
      </c>
      <c r="B19" s="7" t="inlineStr">
        <is>
          <t>Monthly</t>
        </is>
      </c>
      <c r="C19" s="7" t="inlineStr">
        <is>
          <t>Annual</t>
        </is>
      </c>
      <c r="D19" s="7" t="inlineStr">
        <is>
          <t>Per CBO</t>
        </is>
      </c>
      <c r="E19" s="7" t="inlineStr">
        <is>
          <t>SMS share</t>
        </is>
      </c>
      <c r="F19" s="7" t="inlineStr">
        <is>
          <t>Database</t>
        </is>
      </c>
      <c r="G19" s="7" t="inlineStr">
        <is>
          <t>SMS</t>
        </is>
      </c>
    </row>
    <row r="20" ht="22" customHeight="1">
      <c r="A20" s="8">
        <f>cbo_tier_1</f>
        <v/>
      </c>
      <c r="B20" s="9">
        <f>SUMIFS(Scenarios!$V$6:$V$41,Scenarios!$A$6:$A$41,cbo_tier_1,Scenarios!$B$6:$B$41,cbo_tier_1)</f>
        <v/>
      </c>
      <c r="C20" s="10">
        <f>B20*12</f>
        <v/>
      </c>
      <c r="D20" s="11">
        <f>IF(A20=0,NA(),B20/A20)</f>
        <v/>
      </c>
      <c r="E20" s="12">
        <f>IF(B20=0,0,G20/B20)</f>
        <v/>
      </c>
      <c r="F20" s="11">
        <f>SUMIFS(Scenarios!$C$6:$C$41,Scenarios!$A$6:$A$41,cbo_tier_1,Scenarios!$B$6:$B$41,cbo_tier_1)</f>
        <v/>
      </c>
      <c r="G20" s="11">
        <f>(SUMIFS(Scenarios!$I$6:$I$41,Scenarios!$A$6:$A$41,cbo_tier_1,Scenarios!$B$6:$B$41,cbo_tier_1))+(SUMIFS(Scenarios!$J$6:$J$41,Scenarios!$A$6:$A$41,cbo_tier_1,Scenarios!$B$6:$B$41,cbo_tier_1))</f>
        <v/>
      </c>
    </row>
    <row r="21" ht="22" customHeight="1">
      <c r="A21" s="13">
        <f>cbo_tier_2</f>
        <v/>
      </c>
      <c r="B21" s="14">
        <f>SUMIFS(Scenarios!$V$6:$V$41,Scenarios!$A$6:$A$41,cbo_tier_2,Scenarios!$B$6:$B$41,cbo_tier_2)</f>
        <v/>
      </c>
      <c r="C21" s="15">
        <f>B21*12</f>
        <v/>
      </c>
      <c r="D21" s="16">
        <f>IF(A21=0,NA(),B21/A21)</f>
        <v/>
      </c>
      <c r="E21" s="17">
        <f>IF(B21=0,0,G21/B21)</f>
        <v/>
      </c>
      <c r="F21" s="16">
        <f>SUMIFS(Scenarios!$C$6:$C$41,Scenarios!$A$6:$A$41,cbo_tier_2,Scenarios!$B$6:$B$41,cbo_tier_2)</f>
        <v/>
      </c>
      <c r="G21" s="16">
        <f>(SUMIFS(Scenarios!$I$6:$I$41,Scenarios!$A$6:$A$41,cbo_tier_2,Scenarios!$B$6:$B$41,cbo_tier_2))+(SUMIFS(Scenarios!$J$6:$J$41,Scenarios!$A$6:$A$41,cbo_tier_2,Scenarios!$B$6:$B$41,cbo_tier_2))</f>
        <v/>
      </c>
    </row>
    <row r="22" ht="22" customHeight="1">
      <c r="A22" s="8">
        <f>cbo_tier_3</f>
        <v/>
      </c>
      <c r="B22" s="9">
        <f>SUMIFS(Scenarios!$V$6:$V$41,Scenarios!$A$6:$A$41,cbo_tier_3,Scenarios!$B$6:$B$41,cbo_tier_3)</f>
        <v/>
      </c>
      <c r="C22" s="10">
        <f>B22*12</f>
        <v/>
      </c>
      <c r="D22" s="11">
        <f>IF(A22=0,NA(),B22/A22)</f>
        <v/>
      </c>
      <c r="E22" s="12">
        <f>IF(B22=0,0,G22/B22)</f>
        <v/>
      </c>
      <c r="F22" s="11">
        <f>SUMIFS(Scenarios!$C$6:$C$41,Scenarios!$A$6:$A$41,cbo_tier_3,Scenarios!$B$6:$B$41,cbo_tier_3)</f>
        <v/>
      </c>
      <c r="G22" s="11">
        <f>(SUMIFS(Scenarios!$I$6:$I$41,Scenarios!$A$6:$A$41,cbo_tier_3,Scenarios!$B$6:$B$41,cbo_tier_3))+(SUMIFS(Scenarios!$J$6:$J$41,Scenarios!$A$6:$A$41,cbo_tier_3,Scenarios!$B$6:$B$41,cbo_tier_3))</f>
        <v/>
      </c>
    </row>
    <row r="23" ht="22" customHeight="1">
      <c r="A23" s="13">
        <f>cbo_tier_4</f>
        <v/>
      </c>
      <c r="B23" s="14">
        <f>SUMIFS(Scenarios!$V$6:$V$41,Scenarios!$A$6:$A$41,cbo_tier_4,Scenarios!$B$6:$B$41,cbo_tier_4)</f>
        <v/>
      </c>
      <c r="C23" s="15">
        <f>B23*12</f>
        <v/>
      </c>
      <c r="D23" s="16">
        <f>IF(A23=0,NA(),B23/A23)</f>
        <v/>
      </c>
      <c r="E23" s="17">
        <f>IF(B23=0,0,G23/B23)</f>
        <v/>
      </c>
      <c r="F23" s="16">
        <f>SUMIFS(Scenarios!$C$6:$C$41,Scenarios!$A$6:$A$41,cbo_tier_4,Scenarios!$B$6:$B$41,cbo_tier_4)</f>
        <v/>
      </c>
      <c r="G23" s="16">
        <f>(SUMIFS(Scenarios!$I$6:$I$41,Scenarios!$A$6:$A$41,cbo_tier_4,Scenarios!$B$6:$B$41,cbo_tier_4))+(SUMIFS(Scenarios!$J$6:$J$41,Scenarios!$A$6:$A$41,cbo_tier_4,Scenarios!$B$6:$B$41,cbo_tier_4))</f>
        <v/>
      </c>
    </row>
    <row r="24" ht="22" customHeight="1">
      <c r="A24" s="8">
        <f>cbo_tier_5</f>
        <v/>
      </c>
      <c r="B24" s="9">
        <f>SUMIFS(Scenarios!$V$6:$V$41,Scenarios!$A$6:$A$41,cbo_tier_5,Scenarios!$B$6:$B$41,cbo_tier_5)</f>
        <v/>
      </c>
      <c r="C24" s="10">
        <f>B24*12</f>
        <v/>
      </c>
      <c r="D24" s="11">
        <f>IF(A24=0,NA(),B24/A24)</f>
        <v/>
      </c>
      <c r="E24" s="12">
        <f>IF(B24=0,0,G24/B24)</f>
        <v/>
      </c>
      <c r="F24" s="11">
        <f>SUMIFS(Scenarios!$C$6:$C$41,Scenarios!$A$6:$A$41,cbo_tier_5,Scenarios!$B$6:$B$41,cbo_tier_5)</f>
        <v/>
      </c>
      <c r="G24" s="11">
        <f>(SUMIFS(Scenarios!$I$6:$I$41,Scenarios!$A$6:$A$41,cbo_tier_5,Scenarios!$B$6:$B$41,cbo_tier_5))+(SUMIFS(Scenarios!$J$6:$J$41,Scenarios!$A$6:$A$41,cbo_tier_5,Scenarios!$B$6:$B$41,cbo_tier_5))</f>
        <v/>
      </c>
    </row>
    <row r="25" ht="22" customHeight="1">
      <c r="A25" s="13">
        <f>cbo_tier_6</f>
        <v/>
      </c>
      <c r="B25" s="14">
        <f>SUMIFS(Scenarios!$V$6:$V$41,Scenarios!$A$6:$A$41,cbo_tier_6,Scenarios!$B$6:$B$41,cbo_tier_6)</f>
        <v/>
      </c>
      <c r="C25" s="15">
        <f>B25*12</f>
        <v/>
      </c>
      <c r="D25" s="16">
        <f>IF(A25=0,NA(),B25/A25)</f>
        <v/>
      </c>
      <c r="E25" s="17">
        <f>IF(B25=0,0,G25/B25)</f>
        <v/>
      </c>
      <c r="F25" s="16">
        <f>SUMIFS(Scenarios!$C$6:$C$41,Scenarios!$A$6:$A$41,cbo_tier_6,Scenarios!$B$6:$B$41,cbo_tier_6)</f>
        <v/>
      </c>
      <c r="G25" s="16">
        <f>(SUMIFS(Scenarios!$I$6:$I$41,Scenarios!$A$6:$A$41,cbo_tier_6,Scenarios!$B$6:$B$41,cbo_tier_6))+(SUMIFS(Scenarios!$J$6:$J$41,Scenarios!$A$6:$A$41,cbo_tier_6,Scenarios!$B$6:$B$41,cbo_tier_6))</f>
        <v/>
      </c>
    </row>
    <row r="27">
      <c r="A27" s="3" t="inlineStr">
        <is>
          <t>Monthly cost for every mix of CBOs and funders</t>
        </is>
      </c>
    </row>
    <row r="28">
      <c r="A28" s="18" t="inlineStr">
        <is>
          <t>Active funders →</t>
        </is>
      </c>
      <c r="B28" s="19">
        <f>funder_tier_1</f>
        <v/>
      </c>
      <c r="C28" s="19">
        <f>funder_tier_2</f>
        <v/>
      </c>
      <c r="D28" s="19">
        <f>funder_tier_3</f>
        <v/>
      </c>
      <c r="E28" s="19">
        <f>funder_tier_4</f>
        <v/>
      </c>
      <c r="F28" s="19">
        <f>funder_tier_5</f>
        <v/>
      </c>
      <c r="G28" s="19">
        <f>funder_tier_6</f>
        <v/>
      </c>
    </row>
    <row r="29" ht="22" customHeight="1">
      <c r="A29" s="20">
        <f>cbo_tier_1</f>
        <v/>
      </c>
      <c r="B29" s="15">
        <f>SUMIFS(Scenarios!$V$6:$V$41,Scenarios!$A$6:$A$41,cbo_tier_1,Scenarios!$B$6:$B$41,funder_tier_1)</f>
        <v/>
      </c>
      <c r="C29" s="15">
        <f>SUMIFS(Scenarios!$V$6:$V$41,Scenarios!$A$6:$A$41,cbo_tier_1,Scenarios!$B$6:$B$41,funder_tier_2)</f>
        <v/>
      </c>
      <c r="D29" s="15">
        <f>SUMIFS(Scenarios!$V$6:$V$41,Scenarios!$A$6:$A$41,cbo_tier_1,Scenarios!$B$6:$B$41,funder_tier_3)</f>
        <v/>
      </c>
      <c r="E29" s="15">
        <f>SUMIFS(Scenarios!$V$6:$V$41,Scenarios!$A$6:$A$41,cbo_tier_1,Scenarios!$B$6:$B$41,funder_tier_4)</f>
        <v/>
      </c>
      <c r="F29" s="15">
        <f>SUMIFS(Scenarios!$V$6:$V$41,Scenarios!$A$6:$A$41,cbo_tier_1,Scenarios!$B$6:$B$41,funder_tier_5)</f>
        <v/>
      </c>
      <c r="G29" s="15">
        <f>SUMIFS(Scenarios!$V$6:$V$41,Scenarios!$A$6:$A$41,cbo_tier_1,Scenarios!$B$6:$B$41,funder_tier_6)</f>
        <v/>
      </c>
    </row>
    <row r="30" ht="22" customHeight="1">
      <c r="A30" s="20">
        <f>cbo_tier_2</f>
        <v/>
      </c>
      <c r="B30" s="15">
        <f>SUMIFS(Scenarios!$V$6:$V$41,Scenarios!$A$6:$A$41,cbo_tier_2,Scenarios!$B$6:$B$41,funder_tier_1)</f>
        <v/>
      </c>
      <c r="C30" s="15">
        <f>SUMIFS(Scenarios!$V$6:$V$41,Scenarios!$A$6:$A$41,cbo_tier_2,Scenarios!$B$6:$B$41,funder_tier_2)</f>
        <v/>
      </c>
      <c r="D30" s="15">
        <f>SUMIFS(Scenarios!$V$6:$V$41,Scenarios!$A$6:$A$41,cbo_tier_2,Scenarios!$B$6:$B$41,funder_tier_3)</f>
        <v/>
      </c>
      <c r="E30" s="15">
        <f>SUMIFS(Scenarios!$V$6:$V$41,Scenarios!$A$6:$A$41,cbo_tier_2,Scenarios!$B$6:$B$41,funder_tier_4)</f>
        <v/>
      </c>
      <c r="F30" s="15">
        <f>SUMIFS(Scenarios!$V$6:$V$41,Scenarios!$A$6:$A$41,cbo_tier_2,Scenarios!$B$6:$B$41,funder_tier_5)</f>
        <v/>
      </c>
      <c r="G30" s="15">
        <f>SUMIFS(Scenarios!$V$6:$V$41,Scenarios!$A$6:$A$41,cbo_tier_2,Scenarios!$B$6:$B$41,funder_tier_6)</f>
        <v/>
      </c>
    </row>
    <row r="31" ht="22" customHeight="1">
      <c r="A31" s="20">
        <f>cbo_tier_3</f>
        <v/>
      </c>
      <c r="B31" s="15">
        <f>SUMIFS(Scenarios!$V$6:$V$41,Scenarios!$A$6:$A$41,cbo_tier_3,Scenarios!$B$6:$B$41,funder_tier_1)</f>
        <v/>
      </c>
      <c r="C31" s="15">
        <f>SUMIFS(Scenarios!$V$6:$V$41,Scenarios!$A$6:$A$41,cbo_tier_3,Scenarios!$B$6:$B$41,funder_tier_2)</f>
        <v/>
      </c>
      <c r="D31" s="15">
        <f>SUMIFS(Scenarios!$V$6:$V$41,Scenarios!$A$6:$A$41,cbo_tier_3,Scenarios!$B$6:$B$41,funder_tier_3)</f>
        <v/>
      </c>
      <c r="E31" s="15">
        <f>SUMIFS(Scenarios!$V$6:$V$41,Scenarios!$A$6:$A$41,cbo_tier_3,Scenarios!$B$6:$B$41,funder_tier_4)</f>
        <v/>
      </c>
      <c r="F31" s="15">
        <f>SUMIFS(Scenarios!$V$6:$V$41,Scenarios!$A$6:$A$41,cbo_tier_3,Scenarios!$B$6:$B$41,funder_tier_5)</f>
        <v/>
      </c>
      <c r="G31" s="15">
        <f>SUMIFS(Scenarios!$V$6:$V$41,Scenarios!$A$6:$A$41,cbo_tier_3,Scenarios!$B$6:$B$41,funder_tier_6)</f>
        <v/>
      </c>
    </row>
    <row r="32" ht="22" customHeight="1">
      <c r="A32" s="20">
        <f>cbo_tier_4</f>
        <v/>
      </c>
      <c r="B32" s="15">
        <f>SUMIFS(Scenarios!$V$6:$V$41,Scenarios!$A$6:$A$41,cbo_tier_4,Scenarios!$B$6:$B$41,funder_tier_1)</f>
        <v/>
      </c>
      <c r="C32" s="15">
        <f>SUMIFS(Scenarios!$V$6:$V$41,Scenarios!$A$6:$A$41,cbo_tier_4,Scenarios!$B$6:$B$41,funder_tier_2)</f>
        <v/>
      </c>
      <c r="D32" s="15">
        <f>SUMIFS(Scenarios!$V$6:$V$41,Scenarios!$A$6:$A$41,cbo_tier_4,Scenarios!$B$6:$B$41,funder_tier_3)</f>
        <v/>
      </c>
      <c r="E32" s="15">
        <f>SUMIFS(Scenarios!$V$6:$V$41,Scenarios!$A$6:$A$41,cbo_tier_4,Scenarios!$B$6:$B$41,funder_tier_4)</f>
        <v/>
      </c>
      <c r="F32" s="15">
        <f>SUMIFS(Scenarios!$V$6:$V$41,Scenarios!$A$6:$A$41,cbo_tier_4,Scenarios!$B$6:$B$41,funder_tier_5)</f>
        <v/>
      </c>
      <c r="G32" s="15">
        <f>SUMIFS(Scenarios!$V$6:$V$41,Scenarios!$A$6:$A$41,cbo_tier_4,Scenarios!$B$6:$B$41,funder_tier_6)</f>
        <v/>
      </c>
    </row>
    <row r="33" ht="22" customHeight="1">
      <c r="A33" s="20">
        <f>cbo_tier_5</f>
        <v/>
      </c>
      <c r="B33" s="15">
        <f>SUMIFS(Scenarios!$V$6:$V$41,Scenarios!$A$6:$A$41,cbo_tier_5,Scenarios!$B$6:$B$41,funder_tier_1)</f>
        <v/>
      </c>
      <c r="C33" s="15">
        <f>SUMIFS(Scenarios!$V$6:$V$41,Scenarios!$A$6:$A$41,cbo_tier_5,Scenarios!$B$6:$B$41,funder_tier_2)</f>
        <v/>
      </c>
      <c r="D33" s="15">
        <f>SUMIFS(Scenarios!$V$6:$V$41,Scenarios!$A$6:$A$41,cbo_tier_5,Scenarios!$B$6:$B$41,funder_tier_3)</f>
        <v/>
      </c>
      <c r="E33" s="15">
        <f>SUMIFS(Scenarios!$V$6:$V$41,Scenarios!$A$6:$A$41,cbo_tier_5,Scenarios!$B$6:$B$41,funder_tier_4)</f>
        <v/>
      </c>
      <c r="F33" s="15">
        <f>SUMIFS(Scenarios!$V$6:$V$41,Scenarios!$A$6:$A$41,cbo_tier_5,Scenarios!$B$6:$B$41,funder_tier_5)</f>
        <v/>
      </c>
      <c r="G33" s="15">
        <f>SUMIFS(Scenarios!$V$6:$V$41,Scenarios!$A$6:$A$41,cbo_tier_5,Scenarios!$B$6:$B$41,funder_tier_6)</f>
        <v/>
      </c>
    </row>
    <row r="34" ht="22" customHeight="1">
      <c r="A34" s="20">
        <f>cbo_tier_6</f>
        <v/>
      </c>
      <c r="B34" s="15">
        <f>SUMIFS(Scenarios!$V$6:$V$41,Scenarios!$A$6:$A$41,cbo_tier_6,Scenarios!$B$6:$B$41,funder_tier_1)</f>
        <v/>
      </c>
      <c r="C34" s="15">
        <f>SUMIFS(Scenarios!$V$6:$V$41,Scenarios!$A$6:$A$41,cbo_tier_6,Scenarios!$B$6:$B$41,funder_tier_2)</f>
        <v/>
      </c>
      <c r="D34" s="15">
        <f>SUMIFS(Scenarios!$V$6:$V$41,Scenarios!$A$6:$A$41,cbo_tier_6,Scenarios!$B$6:$B$41,funder_tier_3)</f>
        <v/>
      </c>
      <c r="E34" s="15">
        <f>SUMIFS(Scenarios!$V$6:$V$41,Scenarios!$A$6:$A$41,cbo_tier_6,Scenarios!$B$6:$B$41,funder_tier_4)</f>
        <v/>
      </c>
      <c r="F34" s="15">
        <f>SUMIFS(Scenarios!$V$6:$V$41,Scenarios!$A$6:$A$41,cbo_tier_6,Scenarios!$B$6:$B$41,funder_tier_5)</f>
        <v/>
      </c>
      <c r="G34" s="15">
        <f>SUMIFS(Scenarios!$V$6:$V$41,Scenarios!$A$6:$A$41,cbo_tier_6,Scenarios!$B$6:$B$41,funder_tier_6)</f>
        <v/>
      </c>
    </row>
    <row r="36">
      <c r="A36" s="3" t="inlineStr">
        <is>
          <t>How the costs combine</t>
        </is>
      </c>
    </row>
    <row r="37" ht="20" customHeight="1">
      <c r="A37" s="21" t="inlineStr">
        <is>
          <t>The two sides mostly add. They do not multiply. A large funder base does not make community SMS more expensive, and a large CBO base does not make map loads more expensive. They meet in two places: the database steps up when either side reaches 200, and again at 500, and a few shared allowances (Maps, web search, Cloud Run) are project-wide. Down a column, the bill follows CBOs because of texts to Kenya. Across a row, it stays nearly flat until the funder count crosses a database step. Cost per CBO starts higher at 10 organizations, because the database is a fixed bill, then settles close to the SMS cost per organization. The Sensitivity sheet is where the total stops being modest: monthly check-ins, or a much larger texting panel, multiply the SMS line. Heavier Gemini pricing and busier map use move it much less.</t>
        </is>
      </c>
    </row>
    <row r="38" ht="20" customHeight="1"/>
    <row r="39" ht="20" customHeight="1"/>
    <row r="40" ht="20" customHeight="1"/>
  </sheetData>
  <mergeCells count="12">
    <mergeCell ref="B10:D10"/>
    <mergeCell ref="B11:D11"/>
    <mergeCell ref="B5:D5"/>
    <mergeCell ref="C16:G16"/>
    <mergeCell ref="B8:D8"/>
    <mergeCell ref="C15:G15"/>
    <mergeCell ref="B9:D9"/>
    <mergeCell ref="A2:G2"/>
    <mergeCell ref="C14:G14"/>
    <mergeCell ref="A37:G40"/>
    <mergeCell ref="B7:D7"/>
    <mergeCell ref="B6:D6"/>
  </mergeCells>
  <conditionalFormatting sqref="B20:B25">
    <cfRule type="colorScale" priority="1">
      <colorScale>
        <cfvo type="min"/>
        <cfvo type="percentile" val="50"/>
        <cfvo type="max"/>
        <color rgb="00E7F3F1"/>
        <color rgb="00F6E7C1"/>
        <color rgb="00E39B88"/>
      </colorScale>
    </cfRule>
  </conditionalFormatting>
  <conditionalFormatting sqref="B29:G34">
    <cfRule type="colorScale" priority="2">
      <colorScale>
        <cfvo type="min"/>
        <cfvo type="percentile" val="50"/>
        <cfvo type="max"/>
        <color rgb="00E7F3F1"/>
        <color rgb="00F6E7C1"/>
        <color rgb="00E39B88"/>
      </colorScale>
    </cfRule>
  </conditionalFormatting>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s>
  <pageMargins left="0.5" right="0.5" top="0.7" bottom="0.6" header="0.5" footer="0.5"/>
  <pageSetup orientation="landscape" paperSize="3" fitToHeight="2" fitToWidth="1"/>
  <headerFooter>
    <oddHeader>&amp;LKumbu Connect  ·  production cost model&amp;COverview</oddHeader>
    <oddFooter>&amp;LPlanning estimates from public list prices. Not an invoice.&amp;RPage &amp;P</oddFooter>
    <evenHeader/>
    <evenFooter/>
    <firstHeader/>
    <firstFooter/>
  </headerFooter>
</worksheet>
</file>

<file path=xl/worksheets/sheet2.xml><?xml version="1.0" encoding="utf-8"?>
<worksheet xmlns="http://schemas.openxmlformats.org/spreadsheetml/2006/main">
  <sheetPr>
    <tabColor rgb="00C47B2B"/>
    <outlinePr summaryBelow="1" summaryRight="1"/>
    <pageSetUpPr fitToPage="1"/>
  </sheetPr>
  <dimension ref="B1:E108"/>
  <sheetViews>
    <sheetView showGridLines="0" zoomScale="11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46" customWidth="1" min="2" max="2"/>
    <col width="16" customWidth="1" min="3" max="3"/>
    <col width="22" customWidth="1" min="4" max="4"/>
    <col width="88" customWidth="1" min="5" max="5"/>
  </cols>
  <sheetData>
    <row r="1" ht="28" customHeight="1">
      <c r="B1" s="1" t="inlineStr">
        <is>
          <t>Assumptions</t>
        </is>
      </c>
    </row>
    <row r="2" ht="36" customHeight="1">
      <c r="B2" s="2" t="inlineStr">
        <is>
          <t>Yellow cells are the only inputs. Every other sheet reads these values. Tiers are active users in a month, not registered-but-idle accounts.</t>
        </is>
      </c>
    </row>
    <row r="4" ht="20" customHeight="1">
      <c r="B4" s="22" t="inlineStr">
        <is>
          <t>Input</t>
        </is>
      </c>
      <c r="C4" s="22" t="inlineStr">
        <is>
          <t>Value</t>
        </is>
      </c>
      <c r="D4" s="22" t="inlineStr">
        <is>
          <t>Unit</t>
        </is>
      </c>
      <c r="E4" s="22" t="inlineStr">
        <is>
          <t>What it means</t>
        </is>
      </c>
    </row>
    <row r="6" ht="22" customHeight="1">
      <c r="B6" s="23" t="inlineStr">
        <is>
          <t>Community SMS</t>
        </is>
      </c>
      <c r="C6" s="24" t="n"/>
      <c r="D6" s="24" t="n"/>
      <c r="E6" s="24" t="n"/>
    </row>
    <row r="7" ht="32" customHeight="1">
      <c r="B7" s="25" t="inlineStr">
        <is>
          <t>Community texters per CBO</t>
        </is>
      </c>
      <c r="C7" s="26" t="n">
        <v>8</v>
      </c>
      <c r="D7" s="27" t="inlineStr">
        <is>
          <t>people</t>
        </is>
      </c>
      <c r="E7" s="2" t="inlineStr">
        <is>
          <t>A feedback panel, not every beneficiary. Each person is eligible for the twice-yearly check-in.</t>
        </is>
      </c>
    </row>
    <row r="8" ht="32" customHeight="1">
      <c r="B8" s="25" t="inlineStr">
        <is>
          <t>Check-ins per texter per year</t>
        </is>
      </c>
      <c r="C8" s="26" t="n">
        <v>2</v>
      </c>
      <c r="D8" s="27" t="inlineStr">
        <is>
          <t>campaigns / year</t>
        </is>
      </c>
      <c r="E8" s="2" t="inlineStr">
        <is>
          <t>Matches the app: one check-in every 6 months. Monthly check-ins are modeled on Sensitivity.</t>
        </is>
      </c>
    </row>
    <row r="9" ht="32" customHeight="1">
      <c r="B9" s="25" t="inlineStr">
        <is>
          <t>Opening texts per check-in</t>
        </is>
      </c>
      <c r="C9" s="26" t="n">
        <v>1</v>
      </c>
      <c r="D9" s="27" t="inlineStr">
        <is>
          <t>SMS segments</t>
        </is>
      </c>
      <c r="E9" s="2" t="inlineStr">
        <is>
          <t>Sent to every texter, even if they never reply. Assumes the prompt fits in one 160-character segment.</t>
        </is>
      </c>
    </row>
    <row r="10" ht="32" customHeight="1">
      <c r="B10" s="25" t="inlineStr">
        <is>
          <t>Follow-up texts if they finish</t>
        </is>
      </c>
      <c r="C10" s="26" t="n">
        <v>3</v>
      </c>
      <c r="D10" s="27" t="inlineStr">
        <is>
          <t>SMS segments</t>
        </is>
      </c>
      <c r="E10" s="2" t="inlineStr">
        <is>
          <t>Help-count question, story question, and thank-you. Charged only when someone completes the cycle.</t>
        </is>
      </c>
    </row>
    <row r="11" ht="32" customHeight="1">
      <c r="B11" s="25" t="inlineStr">
        <is>
          <t>Replies if they finish</t>
        </is>
      </c>
      <c r="C11" s="26" t="n">
        <v>3</v>
      </c>
      <c r="D11" s="27" t="inlineStr">
        <is>
          <t>SMS segments</t>
        </is>
      </c>
      <c r="E11" s="2" t="inlineStr">
        <is>
          <t>Rating, count, and story coming back to the US number.</t>
        </is>
      </c>
    </row>
    <row r="12" ht="32" customHeight="1">
      <c r="B12" s="25" t="inlineStr">
        <is>
          <t>Share who finish a check-in</t>
        </is>
      </c>
      <c r="C12" s="28" t="n">
        <v>0.55</v>
      </c>
      <c r="D12" s="27" t="inlineStr">
        <is>
          <t>of texters</t>
        </is>
      </c>
      <c r="E12" s="2" t="inlineStr">
        <is>
          <t>Everyone else costs only the opening text.</t>
        </is>
      </c>
    </row>
    <row r="14" ht="22" customHeight="1">
      <c r="B14" s="23" t="inlineStr">
        <is>
          <t>CBO activity each month</t>
        </is>
      </c>
      <c r="C14" s="24" t="n"/>
      <c r="D14" s="24" t="n"/>
      <c r="E14" s="24" t="n"/>
    </row>
    <row r="15" ht="32" customHeight="1">
      <c r="B15" s="25" t="inlineStr">
        <is>
          <t>Document pages processed</t>
        </is>
      </c>
      <c r="C15" s="26" t="n">
        <v>3</v>
      </c>
      <c r="D15" s="27" t="inlineStr">
        <is>
          <t>pages / CBO</t>
        </is>
      </c>
      <c r="E15" s="2" t="inlineStr">
        <is>
          <t>Ongoing bookkeeping. The first-time backlog is on One-time setup.</t>
        </is>
      </c>
    </row>
    <row r="16" ht="32" customHeight="1">
      <c r="B16" s="25" t="inlineStr">
        <is>
          <t>Public-web research interval</t>
        </is>
      </c>
      <c r="C16" s="26" t="n">
        <v>45</v>
      </c>
      <c r="D16" s="27" t="inlineStr">
        <is>
          <t>days</t>
        </is>
      </c>
      <c r="E16" s="2" t="inlineStr">
        <is>
          <t>The app refreshes a CBO about every 45 days, not on every funder search.</t>
        </is>
      </c>
    </row>
    <row r="17" ht="32" customHeight="1">
      <c r="B17" s="25" t="inlineStr">
        <is>
          <t>Web searches per refresh</t>
        </is>
      </c>
      <c r="C17" s="26" t="n">
        <v>2</v>
      </c>
      <c r="D17" s="27" t="inlineStr">
        <is>
          <t>queries</t>
        </is>
      </c>
      <c r="E17" s="2" t="inlineStr">
        <is>
          <t>Results are cached. 100 Google queries a day are free.</t>
        </is>
      </c>
    </row>
    <row r="18" ht="32" customHeight="1">
      <c r="B18" s="25" t="inlineStr">
        <is>
          <t>Stored files per CBO</t>
        </is>
      </c>
      <c r="C18" s="26" t="n">
        <v>60</v>
      </c>
      <c r="D18" s="27" t="inlineStr">
        <is>
          <t>MB</t>
        </is>
      </c>
      <c r="E18" s="2" t="inlineStr">
        <is>
          <t>Uploads and photos. The first 5 GB on the project is treated as included.</t>
        </is>
      </c>
    </row>
    <row r="19" ht="32" customHeight="1">
      <c r="B19" s="25" t="inlineStr">
        <is>
          <t>App requests per CBO</t>
        </is>
      </c>
      <c r="C19" s="26" t="n">
        <v>40</v>
      </c>
      <c r="D19" s="27" t="inlineStr">
        <is>
          <t>requests</t>
        </is>
      </c>
      <c r="E19" s="2" t="inlineStr">
        <is>
          <t>Logins, saves, and page views. Used for the Cloud Run estimate.</t>
        </is>
      </c>
    </row>
    <row r="20" ht="32" customHeight="1">
      <c r="B20" s="25" t="inlineStr">
        <is>
          <t>Address changes</t>
        </is>
      </c>
      <c r="C20" s="29" t="n">
        <v>0.02</v>
      </c>
      <c r="D20" s="27" t="inlineStr">
        <is>
          <t>per CBO / month</t>
        </is>
      </c>
      <c r="E20" s="2" t="inlineStr">
        <is>
          <t>The pin is stored after the first lookup.</t>
        </is>
      </c>
    </row>
    <row r="21" ht="32" customHeight="1">
      <c r="B21" s="25" t="inlineStr">
        <is>
          <t>Firestore writes</t>
        </is>
      </c>
      <c r="C21" s="26" t="n">
        <v>25</v>
      </c>
      <c r="D21" s="27" t="inlineStr">
        <is>
          <t>writes / CBO</t>
        </is>
      </c>
      <c r="E21" s="2" t="inlineStr">
        <is>
          <t>Mirrors of SMS and bookkeeping. Free tier covers this through 500 CBOs.</t>
        </is>
      </c>
    </row>
    <row r="22" ht="32" customHeight="1">
      <c r="B22" s="25" t="inlineStr">
        <is>
          <t>Firestore reads</t>
        </is>
      </c>
      <c r="C22" s="26" t="n">
        <v>50</v>
      </c>
      <c r="D22" s="27" t="inlineStr">
        <is>
          <t>reads / CBO</t>
        </is>
      </c>
      <c r="E22" s="2" t="inlineStr">
        <is>
          <t>Free tier is 50,000 reads a day.</t>
        </is>
      </c>
    </row>
    <row r="23" ht="32" customHeight="1">
      <c r="B23" s="25" t="inlineStr">
        <is>
          <t>Optional Claude spend</t>
        </is>
      </c>
      <c r="C23" s="30" t="n">
        <v>0</v>
      </c>
      <c r="D23" s="27" t="inlineStr">
        <is>
          <t>USD / CBO / month</t>
        </is>
      </c>
      <c r="E23" s="2" t="inlineStr">
        <is>
          <t>Zero keeps the legacy Claude profile step off. Enter a dollar amount to include it.</t>
        </is>
      </c>
    </row>
    <row r="25" ht="22" customHeight="1">
      <c r="B25" s="23" t="inlineStr">
        <is>
          <t>Funder activity each month</t>
        </is>
      </c>
      <c r="C25" s="24" t="n"/>
      <c r="D25" s="24" t="n"/>
      <c r="E25" s="24" t="n"/>
    </row>
    <row r="26" ht="32" customHeight="1">
      <c r="B26" s="25" t="inlineStr">
        <is>
          <t>Marketplace map loads</t>
        </is>
      </c>
      <c r="C26" s="26" t="n">
        <v>6</v>
      </c>
      <c r="D26" s="27" t="inlineStr">
        <is>
          <t>loads / funder</t>
        </is>
      </c>
      <c r="E26" s="2" t="inlineStr">
        <is>
          <t>One load per visit, about weekly. First 10,000 loads a month are free.</t>
        </is>
      </c>
    </row>
    <row r="27" ht="32" customHeight="1">
      <c r="B27" s="25" t="inlineStr">
        <is>
          <t>AI marketplace searches</t>
        </is>
      </c>
      <c r="C27" s="26" t="n">
        <v>3</v>
      </c>
      <c r="D27" s="27" t="inlineStr">
        <is>
          <t>searches / funder</t>
        </is>
      </c>
      <c r="E27" s="2" t="inlineStr">
        <is>
          <t>Two model calls each, ranking a shortlist rather than every CBO.</t>
        </is>
      </c>
    </row>
    <row r="28" ht="32" customHeight="1">
      <c r="B28" s="25" t="inlineStr">
        <is>
          <t>Questions about a CBO</t>
        </is>
      </c>
      <c r="C28" s="26" t="n">
        <v>1</v>
      </c>
      <c r="D28" s="27" t="inlineStr">
        <is>
          <t>questions / funder</t>
        </is>
      </c>
      <c r="E28" s="2" t="inlineStr">
        <is>
          <t>Asked of a profile that is already on the platform.</t>
        </is>
      </c>
    </row>
    <row r="29" ht="32" customHeight="1">
      <c r="B29" s="25" t="inlineStr">
        <is>
          <t>Funding-audit checks</t>
        </is>
      </c>
      <c r="C29" s="29" t="n">
        <v>0.2</v>
      </c>
      <c r="D29" s="27" t="inlineStr">
        <is>
          <t>audits / funder</t>
        </is>
      </c>
      <c r="E29" s="2" t="inlineStr">
        <is>
          <t>About one OpenAI document check per funder every five months.</t>
        </is>
      </c>
    </row>
    <row r="30" ht="32" customHeight="1">
      <c r="B30" s="25" t="inlineStr">
        <is>
          <t>Web searches per audit</t>
        </is>
      </c>
      <c r="C30" s="26" t="n">
        <v>1</v>
      </c>
      <c r="D30" s="27" t="inlineStr">
        <is>
          <t>queries</t>
        </is>
      </c>
      <c r="E30" s="2" t="inlineStr">
        <is>
          <t>A single confirmation search, not a fresh crawl.</t>
        </is>
      </c>
    </row>
    <row r="31" ht="32" customHeight="1">
      <c r="B31" s="25" t="inlineStr">
        <is>
          <t>App requests per funder</t>
        </is>
      </c>
      <c r="C31" s="26" t="n">
        <v>24</v>
      </c>
      <c r="D31" s="27" t="inlineStr">
        <is>
          <t>requests</t>
        </is>
      </c>
      <c r="E31" s="2" t="inlineStr">
        <is>
          <t>Marketplace, profiles, and in-app messages. Those messages are not SMS.</t>
        </is>
      </c>
    </row>
    <row r="32" ht="32" customHeight="1">
      <c r="B32" s="25" t="inlineStr">
        <is>
          <t>Data downloaded</t>
        </is>
      </c>
      <c r="C32" s="26" t="n">
        <v>20</v>
      </c>
      <c r="D32" s="27" t="inlineStr">
        <is>
          <t>MB / funder</t>
        </is>
      </c>
      <c r="E32" s="2" t="inlineStr">
        <is>
          <t>Pages and photos from the US region, with browser caching.</t>
        </is>
      </c>
    </row>
    <row r="34" ht="22" customHeight="1">
      <c r="B34" s="23" t="inlineStr">
        <is>
          <t>Work done on each model or document call</t>
        </is>
      </c>
      <c r="C34" s="24" t="n"/>
      <c r="D34" s="24" t="n"/>
      <c r="E34" s="24" t="n"/>
    </row>
    <row r="35" ht="32" customHeight="1">
      <c r="B35" s="25" t="inlineStr">
        <is>
          <t>Document page, input tokens</t>
        </is>
      </c>
      <c r="C35" s="26" t="n">
        <v>4000</v>
      </c>
      <c r="D35" s="27" t="inlineStr">
        <is>
          <t>tokens</t>
        </is>
      </c>
      <c r="E35" s="2" t="inlineStr">
        <is>
          <t>Gemini normalizes Azure's transcription. It does not re-read the whole scan as the primary path.</t>
        </is>
      </c>
    </row>
    <row r="36" ht="32" customHeight="1">
      <c r="B36" s="25" t="inlineStr">
        <is>
          <t>Document page, output tokens</t>
        </is>
      </c>
      <c r="C36" s="26" t="n">
        <v>1500</v>
      </c>
      <c r="D36" s="27" t="inlineStr">
        <is>
          <t>tokens</t>
        </is>
      </c>
      <c r="E36" s="2" t="inlineStr">
        <is>
          <t>Structured rows.</t>
        </is>
      </c>
    </row>
    <row r="37" ht="32" customHeight="1">
      <c r="B37" s="25" t="inlineStr">
        <is>
          <t>Web-research input tokens</t>
        </is>
      </c>
      <c r="C37" s="26" t="n">
        <v>4500</v>
      </c>
      <c r="D37" s="27" t="inlineStr">
        <is>
          <t>tokens</t>
        </is>
      </c>
      <c r="E37" s="2" t="inlineStr">
        <is>
          <t>A few page excerpts.</t>
        </is>
      </c>
    </row>
    <row r="38" ht="32" customHeight="1">
      <c r="B38" s="25" t="inlineStr">
        <is>
          <t>Web-research output tokens</t>
        </is>
      </c>
      <c r="C38" s="26" t="n">
        <v>900</v>
      </c>
      <c r="D38" s="27" t="inlineStr">
        <is>
          <t>tokens</t>
        </is>
      </c>
      <c r="E38" s="2" t="inlineStr">
        <is>
          <t>Short claims for the CBO to confirm.</t>
        </is>
      </c>
    </row>
    <row r="39" ht="32" customHeight="1">
      <c r="B39" s="25" t="inlineStr">
        <is>
          <t>Search interpret, input tokens</t>
        </is>
      </c>
      <c r="C39" s="26" t="n">
        <v>1200</v>
      </c>
      <c r="D39" s="27" t="inlineStr">
        <is>
          <t>tokens</t>
        </is>
      </c>
      <c r="E39" s="2" t="inlineStr"/>
    </row>
    <row r="40" ht="32" customHeight="1">
      <c r="B40" s="25" t="inlineStr">
        <is>
          <t>Search interpret, output tokens</t>
        </is>
      </c>
      <c r="C40" s="26" t="n">
        <v>350</v>
      </c>
      <c r="D40" s="27" t="inlineStr">
        <is>
          <t>tokens</t>
        </is>
      </c>
      <c r="E40" s="2" t="inlineStr"/>
    </row>
    <row r="41" ht="32" customHeight="1">
      <c r="B41" s="25" t="inlineStr">
        <is>
          <t>Search rank, input tokens</t>
        </is>
      </c>
      <c r="C41" s="26" t="n">
        <v>5000</v>
      </c>
      <c r="D41" s="27" t="inlineStr">
        <is>
          <t>tokens</t>
        </is>
      </c>
      <c r="E41" s="2" t="inlineStr">
        <is>
          <t>Shortlist only. This cap is what stops funder search from getting expensive as CBOs grow.</t>
        </is>
      </c>
    </row>
    <row r="42" ht="32" customHeight="1">
      <c r="B42" s="25" t="inlineStr">
        <is>
          <t>Search rank, output tokens</t>
        </is>
      </c>
      <c r="C42" s="26" t="n">
        <v>700</v>
      </c>
      <c r="D42" s="27" t="inlineStr">
        <is>
          <t>tokens</t>
        </is>
      </c>
      <c r="E42" s="2" t="inlineStr"/>
    </row>
    <row r="43" ht="32" customHeight="1">
      <c r="B43" s="25" t="inlineStr">
        <is>
          <t>CBO question, input tokens</t>
        </is>
      </c>
      <c r="C43" s="26" t="n">
        <v>2500</v>
      </c>
      <c r="D43" s="27" t="inlineStr">
        <is>
          <t>tokens</t>
        </is>
      </c>
      <c r="E43" s="2" t="inlineStr"/>
    </row>
    <row r="44" ht="32" customHeight="1">
      <c r="B44" s="25" t="inlineStr">
        <is>
          <t>CBO question, output tokens</t>
        </is>
      </c>
      <c r="C44" s="26" t="n">
        <v>500</v>
      </c>
      <c r="D44" s="27" t="inlineStr">
        <is>
          <t>tokens</t>
        </is>
      </c>
      <c r="E44" s="2" t="inlineStr"/>
    </row>
    <row r="45" ht="32" customHeight="1">
      <c r="B45" s="25" t="inlineStr">
        <is>
          <t>SMS parse, input tokens</t>
        </is>
      </c>
      <c r="C45" s="26" t="n">
        <v>600</v>
      </c>
      <c r="D45" s="27" t="inlineStr">
        <is>
          <t>tokens</t>
        </is>
      </c>
      <c r="E45" s="2" t="inlineStr"/>
    </row>
    <row r="46" ht="32" customHeight="1">
      <c r="B46" s="25" t="inlineStr">
        <is>
          <t>SMS parse, output tokens</t>
        </is>
      </c>
      <c r="C46" s="26" t="n">
        <v>150</v>
      </c>
      <c r="D46" s="27" t="inlineStr">
        <is>
          <t>tokens</t>
        </is>
      </c>
      <c r="E46" s="2" t="inlineStr"/>
    </row>
    <row r="47" ht="32" customHeight="1">
      <c r="B47" s="25" t="inlineStr">
        <is>
          <t>Inbound texts that use the model</t>
        </is>
      </c>
      <c r="C47" s="28" t="n">
        <v>0.35</v>
      </c>
      <c r="D47" s="27" t="inlineStr">
        <is>
          <t>of replies</t>
        </is>
      </c>
      <c r="E47" s="2" t="inlineStr">
        <is>
          <t>Numbers are parsed in code. Stories are the replies that use Gemini.</t>
        </is>
      </c>
    </row>
    <row r="48" ht="32" customHeight="1">
      <c r="B48" s="25" t="inlineStr">
        <is>
          <t>Funding audit, input tokens</t>
        </is>
      </c>
      <c r="C48" s="26" t="n">
        <v>2000</v>
      </c>
      <c r="D48" s="27" t="inlineStr">
        <is>
          <t>tokens</t>
        </is>
      </c>
      <c r="E48" s="2" t="inlineStr">
        <is>
          <t>OpenAI, one document.</t>
        </is>
      </c>
    </row>
    <row r="49" ht="32" customHeight="1">
      <c r="B49" s="25" t="inlineStr">
        <is>
          <t>Funding audit, output tokens</t>
        </is>
      </c>
      <c r="C49" s="26" t="n">
        <v>600</v>
      </c>
      <c r="D49" s="27" t="inlineStr">
        <is>
          <t>tokens</t>
        </is>
      </c>
      <c r="E49" s="2" t="inlineStr"/>
    </row>
    <row r="50" ht="32" customHeight="1">
      <c r="B50" s="25" t="inlineStr">
        <is>
          <t>Server time per document page</t>
        </is>
      </c>
      <c r="C50" s="26" t="n">
        <v>30</v>
      </c>
      <c r="D50" s="27" t="inlineStr">
        <is>
          <t>vCPU-seconds</t>
        </is>
      </c>
      <c r="E50" s="2" t="inlineStr">
        <is>
          <t>Includes waiting on Azure and Gemini. Still inside the Cloud Run free tier at these volumes.</t>
        </is>
      </c>
    </row>
    <row r="51" ht="32" customHeight="1">
      <c r="B51" s="25" t="inlineStr">
        <is>
          <t>Server time per ordinary request</t>
        </is>
      </c>
      <c r="C51" s="29" t="n">
        <v>0.2</v>
      </c>
      <c r="D51" s="27" t="inlineStr">
        <is>
          <t>vCPU-seconds</t>
        </is>
      </c>
      <c r="E51" s="2" t="inlineStr"/>
    </row>
    <row r="52" ht="32" customHeight="1">
      <c r="B52" s="25" t="inlineStr">
        <is>
          <t>Server memory</t>
        </is>
      </c>
      <c r="C52" s="26" t="n">
        <v>2</v>
      </c>
      <c r="D52" s="27" t="inlineStr">
        <is>
          <t>GiB</t>
        </is>
      </c>
      <c r="E52" s="2" t="inlineStr">
        <is>
          <t>Same size as the current Cloud Run service.</t>
        </is>
      </c>
    </row>
    <row r="53" ht="32" customHeight="1">
      <c r="B53" s="25" t="inlineStr">
        <is>
          <t>Always-warm server instances</t>
        </is>
      </c>
      <c r="C53" s="26" t="n">
        <v>0</v>
      </c>
      <c r="D53" s="27" t="inlineStr">
        <is>
          <t>instances</t>
        </is>
      </c>
      <c r="E53" s="2" t="inlineStr">
        <is>
          <t>Leave at 0 so an idle app is not billed for CPU. Set to 1 only to avoid cold starts.</t>
        </is>
      </c>
    </row>
    <row r="55" ht="22" customHeight="1">
      <c r="B55" s="23" t="inlineStr">
        <is>
          <t>Prices</t>
        </is>
      </c>
      <c r="C55" s="24" t="n"/>
      <c r="D55" s="24" t="n"/>
      <c r="E55" s="24" t="n"/>
    </row>
    <row r="56" ht="32" customHeight="1">
      <c r="B56" s="25" t="inlineStr">
        <is>
          <t>SMS to Kenya</t>
        </is>
      </c>
      <c r="C56" s="30" t="n">
        <v>0.3134</v>
      </c>
      <c r="D56" s="27" t="inlineStr">
        <is>
          <t>USD / segment</t>
        </is>
      </c>
      <c r="E56" s="2" t="inlineStr">
        <is>
          <t>Twilio's posted outbound rate to Kenya. Use the number in your own Twilio console if it differs.</t>
        </is>
      </c>
    </row>
    <row r="57" ht="32" customHeight="1">
      <c r="B57" s="25" t="inlineStr">
        <is>
          <t>SMS received on the US number</t>
        </is>
      </c>
      <c r="C57" s="30" t="n">
        <v>0.0083</v>
      </c>
      <c r="D57" s="27" t="inlineStr">
        <is>
          <t>USD / segment</t>
        </is>
      </c>
      <c r="E57" s="2" t="inlineStr">
        <is>
          <t>Replies are billed at US inbound rates.</t>
        </is>
      </c>
    </row>
    <row r="58" ht="32" customHeight="1">
      <c r="B58" s="25" t="inlineStr">
        <is>
          <t>Twilio number</t>
        </is>
      </c>
      <c r="C58" s="31" t="n">
        <v>1.15</v>
      </c>
      <c r="D58" s="27" t="inlineStr">
        <is>
          <t>USD / number / month</t>
        </is>
      </c>
      <c r="E58" s="2" t="inlineStr"/>
    </row>
    <row r="59" ht="32" customHeight="1">
      <c r="B59" s="25" t="inlineStr">
        <is>
          <t>Phone numbers in use</t>
        </is>
      </c>
      <c r="C59" s="26" t="n">
        <v>1</v>
      </c>
      <c r="D59" s="27" t="inlineStr">
        <is>
          <t>numbers</t>
        </is>
      </c>
      <c r="E59" s="2" t="inlineStr">
        <is>
          <t>One US long code covers this volume.</t>
        </is>
      </c>
    </row>
    <row r="60" ht="32" customHeight="1">
      <c r="B60" s="25" t="inlineStr">
        <is>
          <t>Azure Layout</t>
        </is>
      </c>
      <c r="C60" s="30" t="n">
        <v>0.01</v>
      </c>
      <c r="D60" s="27" t="inlineStr">
        <is>
          <t>USD / page</t>
        </is>
      </c>
      <c r="E60" s="2" t="inlineStr">
        <is>
          <t>$10 per 1,000 pages. Layout is the model that preserves tables.</t>
        </is>
      </c>
    </row>
    <row r="61" ht="32" customHeight="1">
      <c r="B61" s="25" t="inlineStr">
        <is>
          <t>Gemini input</t>
        </is>
      </c>
      <c r="C61" s="31" t="n">
        <v>0.3</v>
      </c>
      <c r="D61" s="27" t="inlineStr">
        <is>
          <t>USD / 1 million tokens</t>
        </is>
      </c>
      <c r="E61" s="2" t="inlineStr">
        <is>
          <t>Efficient Flash-class price. Sensitivity shows a 5× case closer to a higher-priced Flash model.</t>
        </is>
      </c>
    </row>
    <row r="62" ht="32" customHeight="1">
      <c r="B62" s="25" t="inlineStr">
        <is>
          <t>Gemini output</t>
        </is>
      </c>
      <c r="C62" s="31" t="n">
        <v>2.5</v>
      </c>
      <c r="D62" s="27" t="inlineStr">
        <is>
          <t>USD / 1 million tokens</t>
        </is>
      </c>
      <c r="E62" s="2" t="inlineStr"/>
    </row>
    <row r="63" ht="32" customHeight="1">
      <c r="B63" s="25" t="inlineStr">
        <is>
          <t>OpenAI input</t>
        </is>
      </c>
      <c r="C63" s="31" t="n">
        <v>2</v>
      </c>
      <c r="D63" s="27" t="inlineStr">
        <is>
          <t>USD / 1 million tokens</t>
        </is>
      </c>
      <c r="E63" s="2" t="inlineStr">
        <is>
          <t>GPT-4.1 class. Used only on funding audits.</t>
        </is>
      </c>
    </row>
    <row r="64" ht="32" customHeight="1">
      <c r="B64" s="25" t="inlineStr">
        <is>
          <t>OpenAI output</t>
        </is>
      </c>
      <c r="C64" s="31" t="n">
        <v>8</v>
      </c>
      <c r="D64" s="27" t="inlineStr">
        <is>
          <t>USD / 1 million tokens</t>
        </is>
      </c>
      <c r="E64" s="2" t="inlineStr"/>
    </row>
    <row r="65" ht="32" customHeight="1">
      <c r="B65" s="25" t="inlineStr">
        <is>
          <t>Google Custom Search</t>
        </is>
      </c>
      <c r="C65" s="31" t="n">
        <v>5</v>
      </c>
      <c r="D65" s="27" t="inlineStr">
        <is>
          <t>USD / 1,000 queries</t>
        </is>
      </c>
      <c r="E65" s="2" t="inlineStr">
        <is>
          <t>After about 3,000 free queries a month.</t>
        </is>
      </c>
    </row>
    <row r="66" ht="32" customHeight="1">
      <c r="B66" s="25" t="inlineStr">
        <is>
          <t>Google Maps load</t>
        </is>
      </c>
      <c r="C66" s="31" t="n">
        <v>7</v>
      </c>
      <c r="D66" s="27" t="inlineStr">
        <is>
          <t>USD / 1,000 loads</t>
        </is>
      </c>
      <c r="E66" s="2" t="inlineStr">
        <is>
          <t>After 10,000 free dynamic map loads a month.</t>
        </is>
      </c>
    </row>
    <row r="67" ht="32" customHeight="1">
      <c r="B67" s="25" t="inlineStr">
        <is>
          <t>Google Geocoding</t>
        </is>
      </c>
      <c r="C67" s="31" t="n">
        <v>5</v>
      </c>
      <c r="D67" s="27" t="inlineStr">
        <is>
          <t>USD / 1,000 lookups</t>
        </is>
      </c>
      <c r="E67" s="2" t="inlineStr">
        <is>
          <t>After 10,000 free lookups. Stored pins are not repeated.</t>
        </is>
      </c>
    </row>
    <row r="68" ht="32" customHeight="1">
      <c r="B68" s="25" t="inlineStr">
        <is>
          <t>File storage</t>
        </is>
      </c>
      <c r="C68" s="30" t="n">
        <v>0.026</v>
      </c>
      <c r="D68" s="27" t="inlineStr">
        <is>
          <t>USD / GB-month</t>
        </is>
      </c>
      <c r="E68" s="2" t="inlineStr">
        <is>
          <t>After 5 GB.</t>
        </is>
      </c>
    </row>
    <row r="69" ht="32" customHeight="1">
      <c r="B69" s="25" t="inlineStr">
        <is>
          <t>Data transfer out</t>
        </is>
      </c>
      <c r="C69" s="31" t="n">
        <v>0.12</v>
      </c>
      <c r="D69" s="27" t="inlineStr">
        <is>
          <t>USD / GB</t>
        </is>
      </c>
      <c r="E69" s="2" t="inlineStr">
        <is>
          <t>From the US hosting region to users.</t>
        </is>
      </c>
    </row>
    <row r="70" ht="32" customHeight="1">
      <c r="B70" s="25" t="inlineStr">
        <is>
          <t>Cloud Run CPU</t>
        </is>
      </c>
      <c r="C70" s="30" t="n">
        <v>2.4e-05</v>
      </c>
      <c r="D70" s="27" t="inlineStr">
        <is>
          <t>USD / vCPU-second</t>
        </is>
      </c>
      <c r="E70" s="2" t="inlineStr">
        <is>
          <t>Billed while a request is running, not while the app is idle.</t>
        </is>
      </c>
    </row>
    <row r="71" ht="32" customHeight="1">
      <c r="B71" s="25" t="inlineStr">
        <is>
          <t>Cloud Run memory</t>
        </is>
      </c>
      <c r="C71" s="30" t="n">
        <v>2.5e-06</v>
      </c>
      <c r="D71" s="27" t="inlineStr">
        <is>
          <t>USD / GiB-second</t>
        </is>
      </c>
      <c r="E71" s="2" t="inlineStr"/>
    </row>
    <row r="72" ht="32" customHeight="1">
      <c r="B72" s="25" t="inlineStr">
        <is>
          <t>Cloud Run requests</t>
        </is>
      </c>
      <c r="C72" s="31" t="n">
        <v>0.4</v>
      </c>
      <c r="D72" s="27" t="inlineStr">
        <is>
          <t>USD / 1 million</t>
        </is>
      </c>
      <c r="E72" s="2" t="inlineStr">
        <is>
          <t>After 2 million free requests.</t>
        </is>
      </c>
    </row>
    <row r="73" ht="32" customHeight="1">
      <c r="B73" s="25" t="inlineStr">
        <is>
          <t>Warm instance, if you keep one on</t>
        </is>
      </c>
      <c r="C73" s="31" t="n">
        <v>18</v>
      </c>
      <c r="D73" s="27" t="inlineStr">
        <is>
          <t>USD / month</t>
        </is>
      </c>
      <c r="E73" s="2" t="inlineStr">
        <is>
          <t>Added only when always-warm instances is greater than 0.</t>
        </is>
      </c>
    </row>
    <row r="74" ht="32" customHeight="1">
      <c r="B74" s="25" t="inlineStr">
        <is>
          <t>Database, small</t>
        </is>
      </c>
      <c r="C74" s="31" t="n">
        <v>12</v>
      </c>
      <c r="D74" s="27" t="inlineStr">
        <is>
          <t>USD / month</t>
        </is>
      </c>
      <c r="E74" s="2" t="inlineStr">
        <is>
          <t>Shared-core Postgres, disk, and backups. Used while both sides are under 200.</t>
        </is>
      </c>
    </row>
    <row r="75" ht="32" customHeight="1">
      <c r="B75" s="25" t="inlineStr">
        <is>
          <t>Database, medium</t>
        </is>
      </c>
      <c r="C75" s="31" t="n">
        <v>32</v>
      </c>
      <c r="D75" s="27" t="inlineStr">
        <is>
          <t>USD / month</t>
        </is>
      </c>
      <c r="E75" s="2" t="inlineStr">
        <is>
          <t>Used when either side reaches 200 active users.</t>
        </is>
      </c>
    </row>
    <row r="76" ht="32" customHeight="1">
      <c r="B76" s="25" t="inlineStr">
        <is>
          <t>Database, large</t>
        </is>
      </c>
      <c r="C76" s="31" t="n">
        <v>65</v>
      </c>
      <c r="D76" s="27" t="inlineStr">
        <is>
          <t>USD / month</t>
        </is>
      </c>
      <c r="E76" s="2" t="inlineStr">
        <is>
          <t>About 1 vCPU, single zone, with backups. Used when either side reaches 500. A hot standby is not included.</t>
        </is>
      </c>
    </row>
    <row r="77" ht="32" customHeight="1">
      <c r="B77" s="25" t="inlineStr">
        <is>
          <t>Secrets and image storage</t>
        </is>
      </c>
      <c r="C77" s="31" t="n">
        <v>1.5</v>
      </c>
      <c r="D77" s="27" t="inlineStr">
        <is>
          <t>USD / month</t>
        </is>
      </c>
      <c r="E77" s="2" t="inlineStr"/>
    </row>
    <row r="78" ht="32" customHeight="1">
      <c r="B78" s="25" t="inlineStr">
        <is>
          <t>Domain and log buffer</t>
        </is>
      </c>
      <c r="C78" s="31" t="n">
        <v>2</v>
      </c>
      <c r="D78" s="27" t="inlineStr">
        <is>
          <t>USD / month</t>
        </is>
      </c>
      <c r="E78" s="2" t="inlineStr"/>
    </row>
    <row r="79" ht="32" customHeight="1">
      <c r="B79" s="25" t="inlineStr">
        <is>
          <t>Firestore writes</t>
        </is>
      </c>
      <c r="C79" s="31" t="n">
        <v>0.09</v>
      </c>
      <c r="D79" s="27" t="inlineStr">
        <is>
          <t>USD / 100,000</t>
        </is>
      </c>
      <c r="E79" s="2" t="inlineStr">
        <is>
          <t>After the free quota.</t>
        </is>
      </c>
    </row>
    <row r="80" ht="32" customHeight="1">
      <c r="B80" s="25" t="inlineStr">
        <is>
          <t>Firestore reads</t>
        </is>
      </c>
      <c r="C80" s="31" t="n">
        <v>0.03</v>
      </c>
      <c r="D80" s="27" t="inlineStr">
        <is>
          <t>USD / 100,000</t>
        </is>
      </c>
      <c r="E80" s="2" t="inlineStr">
        <is>
          <t>After the free quota.</t>
        </is>
      </c>
    </row>
    <row r="82" ht="22" customHeight="1">
      <c r="B82" s="23" t="inlineStr">
        <is>
          <t>Included allowances and database steps</t>
        </is>
      </c>
      <c r="C82" s="24" t="n"/>
      <c r="D82" s="24" t="n"/>
      <c r="E82" s="24" t="n"/>
    </row>
    <row r="83" ht="32" customHeight="1">
      <c r="B83" s="25" t="inlineStr">
        <is>
          <t>Custom Search included</t>
        </is>
      </c>
      <c r="C83" s="26" t="n">
        <v>3000</v>
      </c>
      <c r="D83" s="27" t="inlineStr">
        <is>
          <t>queries / month</t>
        </is>
      </c>
      <c r="E83" s="2" t="inlineStr">
        <is>
          <t>100 a day.</t>
        </is>
      </c>
    </row>
    <row r="84" ht="32" customHeight="1">
      <c r="B84" s="25" t="inlineStr">
        <is>
          <t>Map loads included</t>
        </is>
      </c>
      <c r="C84" s="26" t="n">
        <v>10000</v>
      </c>
      <c r="D84" s="27" t="inlineStr">
        <is>
          <t>loads / month</t>
        </is>
      </c>
      <c r="E84" s="2" t="inlineStr"/>
    </row>
    <row r="85" ht="32" customHeight="1">
      <c r="B85" s="25" t="inlineStr">
        <is>
          <t>Geocodes included</t>
        </is>
      </c>
      <c r="C85" s="26" t="n">
        <v>10000</v>
      </c>
      <c r="D85" s="27" t="inlineStr">
        <is>
          <t>lookups / month</t>
        </is>
      </c>
      <c r="E85" s="2" t="inlineStr"/>
    </row>
    <row r="86" ht="32" customHeight="1">
      <c r="B86" s="25" t="inlineStr">
        <is>
          <t>Cloud Run CPU included</t>
        </is>
      </c>
      <c r="C86" s="26" t="n">
        <v>180000</v>
      </c>
      <c r="D86" s="27" t="inlineStr">
        <is>
          <t>vCPU-seconds / month</t>
        </is>
      </c>
      <c r="E86" s="2" t="inlineStr"/>
    </row>
    <row r="87" ht="32" customHeight="1">
      <c r="B87" s="25" t="inlineStr">
        <is>
          <t>Cloud Run memory included</t>
        </is>
      </c>
      <c r="C87" s="26" t="n">
        <v>360000</v>
      </c>
      <c r="D87" s="27" t="inlineStr">
        <is>
          <t>GiB-seconds / month</t>
        </is>
      </c>
      <c r="E87" s="2" t="inlineStr"/>
    </row>
    <row r="88" ht="32" customHeight="1">
      <c r="B88" s="25" t="inlineStr">
        <is>
          <t>Cloud Run requests included</t>
        </is>
      </c>
      <c r="C88" s="26" t="n">
        <v>2000000</v>
      </c>
      <c r="D88" s="27" t="inlineStr">
        <is>
          <t>requests / month</t>
        </is>
      </c>
      <c r="E88" s="2" t="inlineStr"/>
    </row>
    <row r="89" ht="32" customHeight="1">
      <c r="B89" s="25" t="inlineStr">
        <is>
          <t>Storage included</t>
        </is>
      </c>
      <c r="C89" s="26" t="n">
        <v>5</v>
      </c>
      <c r="D89" s="27" t="inlineStr">
        <is>
          <t>GB</t>
        </is>
      </c>
      <c r="E89" s="2" t="inlineStr"/>
    </row>
    <row r="90" ht="32" customHeight="1">
      <c r="B90" s="25" t="inlineStr">
        <is>
          <t>Data transfer included</t>
        </is>
      </c>
      <c r="C90" s="26" t="n">
        <v>0</v>
      </c>
      <c r="D90" s="27" t="inlineStr">
        <is>
          <t>GB</t>
        </is>
      </c>
      <c r="E90" s="2" t="inlineStr">
        <is>
          <t>None assumed.</t>
        </is>
      </c>
    </row>
    <row r="91" ht="32" customHeight="1">
      <c r="B91" s="25" t="inlineStr">
        <is>
          <t>Firestore writes included</t>
        </is>
      </c>
      <c r="C91" s="26" t="n">
        <v>600000</v>
      </c>
      <c r="D91" s="27" t="inlineStr">
        <is>
          <t>writes / month</t>
        </is>
      </c>
      <c r="E91" s="2" t="inlineStr">
        <is>
          <t>20,000 a day.</t>
        </is>
      </c>
    </row>
    <row r="92" ht="32" customHeight="1">
      <c r="B92" s="25" t="inlineStr">
        <is>
          <t>Firestore reads included</t>
        </is>
      </c>
      <c r="C92" s="26" t="n">
        <v>1500000</v>
      </c>
      <c r="D92" s="27" t="inlineStr">
        <is>
          <t>reads / month</t>
        </is>
      </c>
      <c r="E92" s="2" t="inlineStr">
        <is>
          <t>50,000 a day.</t>
        </is>
      </c>
    </row>
    <row r="93" ht="32" customHeight="1">
      <c r="B93" s="25" t="inlineStr">
        <is>
          <t>Medium database begins</t>
        </is>
      </c>
      <c r="C93" s="26" t="n">
        <v>200</v>
      </c>
      <c r="D93" s="27" t="inlineStr">
        <is>
          <t>active users on either side</t>
        </is>
      </c>
      <c r="E93" s="2" t="inlineStr"/>
    </row>
    <row r="94" ht="32" customHeight="1">
      <c r="B94" s="25" t="inlineStr">
        <is>
          <t>Large database begins</t>
        </is>
      </c>
      <c r="C94" s="26" t="n">
        <v>500</v>
      </c>
      <c r="D94" s="27" t="inlineStr">
        <is>
          <t>active users on either side</t>
        </is>
      </c>
      <c r="E94" s="2" t="inlineStr">
        <is>
          <t>Sized for this tier. If you raise a tier past 500, raise the large-database price too.</t>
        </is>
      </c>
    </row>
    <row r="96" ht="22" customHeight="1">
      <c r="B96" s="23" t="inlineStr">
        <is>
          <t>One-time cost when a CBO joins</t>
        </is>
      </c>
      <c r="C96" s="24" t="n"/>
      <c r="D96" s="24" t="n"/>
      <c r="E96" s="24" t="n"/>
    </row>
    <row r="97" ht="32" customHeight="1">
      <c r="B97" s="25" t="inlineStr">
        <is>
          <t>Onboarding texts to the leader</t>
        </is>
      </c>
      <c r="C97" s="26" t="n">
        <v>1</v>
      </c>
      <c r="D97" s="27" t="inlineStr">
        <is>
          <t>SMS segments</t>
        </is>
      </c>
      <c r="E97" s="2" t="inlineStr">
        <is>
          <t>A Google Form or the in-app form collects the profile. Twilio sends one short text with that link. Set this to 0 if they open a QR code or a link with no text. The old multi-step SMS conversation is not included.</t>
        </is>
      </c>
    </row>
    <row r="98" ht="32" customHeight="1">
      <c r="B98" s="25" t="inlineStr">
        <is>
          <t>Backlog pages at signup</t>
        </is>
      </c>
      <c r="C98" s="26" t="n">
        <v>10</v>
      </c>
      <c r="D98" s="27" t="inlineStr">
        <is>
          <t>pages</t>
        </is>
      </c>
      <c r="E98" s="2" t="inlineStr">
        <is>
          <t>Charged once, in addition to the monthly page rate.</t>
        </is>
      </c>
    </row>
    <row r="100" ht="22" customHeight="1">
      <c r="B100" s="23" t="inlineStr">
        <is>
          <t>Active-user tiers</t>
        </is>
      </c>
      <c r="C100" s="24" t="n"/>
      <c r="D100" s="24" t="n"/>
      <c r="E100" s="24" t="n"/>
    </row>
    <row r="101">
      <c r="B101" s="2" t="inlineStr">
        <is>
          <t>These six sizes drive every scenario. Edit them and the matrices follow.</t>
        </is>
      </c>
    </row>
    <row r="102">
      <c r="B102" s="32" t="inlineStr"/>
      <c r="C102" s="22" t="inlineStr">
        <is>
          <t>CBO tiers</t>
        </is>
      </c>
      <c r="D102" s="22" t="inlineStr">
        <is>
          <t>Funder tiers</t>
        </is>
      </c>
      <c r="E102" s="2" t="inlineStr">
        <is>
          <t>Both lists use the same steps so the grid is square. You can type different funder sizes.</t>
        </is>
      </c>
    </row>
    <row r="103" ht="22" customHeight="1">
      <c r="B103" s="25" t="inlineStr">
        <is>
          <t>Tier 1</t>
        </is>
      </c>
      <c r="C103" s="26" t="n">
        <v>10</v>
      </c>
      <c r="D103" s="26" t="n">
        <v>10</v>
      </c>
    </row>
    <row r="104" ht="22" customHeight="1">
      <c r="B104" s="25" t="inlineStr">
        <is>
          <t>Tier 2</t>
        </is>
      </c>
      <c r="C104" s="26" t="n">
        <v>25</v>
      </c>
      <c r="D104" s="26" t="n">
        <v>25</v>
      </c>
    </row>
    <row r="105" ht="22" customHeight="1">
      <c r="B105" s="25" t="inlineStr">
        <is>
          <t>Tier 3</t>
        </is>
      </c>
      <c r="C105" s="26" t="n">
        <v>50</v>
      </c>
      <c r="D105" s="26" t="n">
        <v>50</v>
      </c>
    </row>
    <row r="106" ht="22" customHeight="1">
      <c r="B106" s="25" t="inlineStr">
        <is>
          <t>Tier 4</t>
        </is>
      </c>
      <c r="C106" s="26" t="n">
        <v>100</v>
      </c>
      <c r="D106" s="26" t="n">
        <v>100</v>
      </c>
    </row>
    <row r="107" ht="22" customHeight="1">
      <c r="B107" s="25" t="inlineStr">
        <is>
          <t>Tier 5</t>
        </is>
      </c>
      <c r="C107" s="26" t="n">
        <v>200</v>
      </c>
      <c r="D107" s="26" t="n">
        <v>200</v>
      </c>
    </row>
    <row r="108" ht="22" customHeight="1">
      <c r="B108" s="25" t="inlineStr">
        <is>
          <t>Tier 6</t>
        </is>
      </c>
      <c r="C108" s="26" t="n">
        <v>500</v>
      </c>
      <c r="D108" s="26" t="n">
        <v>500</v>
      </c>
    </row>
  </sheetData>
  <mergeCells count="10">
    <mergeCell ref="B96:E96"/>
    <mergeCell ref="B6:E6"/>
    <mergeCell ref="B82:E82"/>
    <mergeCell ref="B100:E100"/>
    <mergeCell ref="B25:E25"/>
    <mergeCell ref="B55:E55"/>
    <mergeCell ref="B2:E2"/>
    <mergeCell ref="B34:E34"/>
    <mergeCell ref="B101:E101"/>
    <mergeCell ref="B14:E14"/>
  </mergeCells>
  <pageMargins left="0.5" right="0.5" top="0.7" bottom="0.6" header="0.5" footer="0.5"/>
  <pageSetup orientation="landscape" paperSize="3" fitToHeight="3" fitToWidth="1"/>
  <headerFooter>
    <oddHeader>&amp;LKumbu Connect  ·  production cost model&amp;CInputs</oddHeader>
    <oddFooter>&amp;LPlanning estimates from public list prices. Not an invoice.&amp;RPage &amp;P</oddFooter>
    <evenHeader/>
    <evenFooter/>
    <firstHeader/>
    <firstFooter/>
  </headerFooter>
</worksheet>
</file>

<file path=xl/worksheets/sheet3.xml><?xml version="1.0" encoding="utf-8"?>
<worksheet xmlns="http://schemas.openxmlformats.org/spreadsheetml/2006/main">
  <sheetPr>
    <tabColor rgb="000A7A73"/>
    <outlinePr summaryBelow="1" summaryRight="1"/>
    <pageSetUpPr fitToPage="1"/>
  </sheetPr>
  <dimension ref="B1:D36"/>
  <sheetViews>
    <sheetView showGridLines="0" zoomScale="11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62" customWidth="1" min="2" max="2"/>
    <col width="18" customWidth="1" min="3" max="3"/>
    <col width="78" customWidth="1" min="4" max="4"/>
  </cols>
  <sheetData>
    <row r="1">
      <c r="B1" s="1" t="inlineStr">
        <is>
          <t>Unit costs</t>
        </is>
      </c>
    </row>
    <row r="2" ht="32" customHeight="1">
      <c r="B2" s="2" t="inlineStr">
        <is>
          <t>These are calculated from Assumptions. They explain the slope of the bill. Shared free tiers are applied later, once per scenario, so they are not subtracted here.</t>
        </is>
      </c>
    </row>
    <row r="4">
      <c r="B4" s="33" t="inlineStr">
        <is>
          <t>Per active CBO, each month</t>
        </is>
      </c>
      <c r="C4" s="34" t="n"/>
      <c r="D4" s="34" t="n"/>
    </row>
    <row r="5" ht="30" customHeight="1">
      <c r="B5" s="25" t="inlineStr">
        <is>
          <t>Outbound SMS segments</t>
        </is>
      </c>
      <c r="C5" s="35">
        <f>subscribers_per_cbo*(checkins_per_year/12)*(opening_segments+followup_segments*completion_rate)</f>
        <v/>
      </c>
      <c r="D5" s="2" t="inlineStr">
        <is>
          <t>Opening text for everyone, plus the three follow-ups only for people who finish.</t>
        </is>
      </c>
    </row>
    <row r="6" ht="30" customHeight="1">
      <c r="B6" s="25" t="inlineStr">
        <is>
          <t>Inbound SMS segments</t>
        </is>
      </c>
      <c r="C6" s="35">
        <f>subscribers_per_cbo*(checkins_per_year/12)*inbound_segments_if_complete*completion_rate</f>
        <v/>
      </c>
      <c r="D6" s="2" t="inlineStr">
        <is>
          <t>Replies from people who finish.</t>
        </is>
      </c>
    </row>
    <row r="7" ht="30" customHeight="1">
      <c r="B7" s="25" t="inlineStr">
        <is>
          <t>Outbound SMS</t>
        </is>
      </c>
      <c r="C7" s="36">
        <f>sms_out_segments_per_cbo*price_kenya_sms</f>
        <v/>
      </c>
      <c r="D7" s="2" t="inlineStr">
        <is>
          <t>This is the main per-CBO cost.</t>
        </is>
      </c>
    </row>
    <row r="8" ht="30" customHeight="1">
      <c r="B8" s="25" t="inlineStr">
        <is>
          <t>Inbound SMS</t>
        </is>
      </c>
      <c r="C8" s="36">
        <f>sms_in_segments_per_cbo*price_inbound_sms</f>
        <v/>
      </c>
      <c r="D8" s="2" t="inlineStr">
        <is>
          <t>Small, because replies hit a US number.</t>
        </is>
      </c>
    </row>
    <row r="9" ht="30" customHeight="1">
      <c r="B9" s="25" t="inlineStr">
        <is>
          <t>Azure document reading</t>
        </is>
      </c>
      <c r="C9" s="36">
        <f>pages_per_cbo_month*price_azure_page</f>
        <v/>
      </c>
      <c r="D9" s="2" t="inlineStr">
        <is>
          <t>Layout price per page times monthly pages.</t>
        </is>
      </c>
    </row>
    <row r="10" ht="30" customHeight="1">
      <c r="B10" s="25" t="inlineStr">
        <is>
          <t>Gemini per document page</t>
        </is>
      </c>
      <c r="C10" s="36">
        <f>(doc_input_tokens/1000000)*price_gemini_in+(doc_output_tokens/1000000)*price_gemini_out</f>
        <v/>
      </c>
      <c r="D10" s="2" t="inlineStr">
        <is>
          <t>Token price for one normalized page.</t>
        </is>
      </c>
    </row>
    <row r="11" ht="30" customHeight="1">
      <c r="B11" s="25" t="inlineStr">
        <is>
          <t>Gemini on monthly documents</t>
        </is>
      </c>
      <c r="C11" s="36">
        <f>pages_per_cbo_month*gemini_doc_cost_per_page</f>
        <v/>
      </c>
      <c r="D11" s="2" t="inlineStr"/>
    </row>
    <row r="12" ht="30" customHeight="1">
      <c r="B12" s="25" t="inlineStr">
        <is>
          <t>Research refreshes</t>
        </is>
      </c>
      <c r="C12" s="35">
        <f>30/refresh_days</f>
        <v/>
      </c>
      <c r="D12" s="2" t="inlineStr">
        <is>
          <t>Share of CBOs refreshed in a typical month.</t>
        </is>
      </c>
    </row>
    <row r="13" ht="30" customHeight="1">
      <c r="B13" s="25" t="inlineStr">
        <is>
          <t>Gemini on web research</t>
        </is>
      </c>
      <c r="C13" s="36">
        <f>refreshes_per_cbo_month*((research_input_tokens/1000000)*price_gemini_in+(research_output_tokens/1000000)*price_gemini_out)</f>
        <v/>
      </c>
      <c r="D13" s="2" t="inlineStr">
        <is>
          <t>Does not include Google query fees. Those are shared and usually still free.</t>
        </is>
      </c>
    </row>
    <row r="14" ht="30" customHeight="1">
      <c r="B14" s="25" t="inlineStr">
        <is>
          <t>Gemini on SMS replies</t>
        </is>
      </c>
      <c r="C14" s="36">
        <f>sms_in_segments_per_cbo*sms_ai_share*((sms_input_tokens/1000000)*price_gemini_in+(sms_output_tokens/1000000)*price_gemini_out)</f>
        <v/>
      </c>
      <c r="D14" s="2" t="inlineStr">
        <is>
          <t>Only the share of replies marked as needing the model.</t>
        </is>
      </c>
    </row>
    <row r="15" ht="30" customHeight="1">
      <c r="B15" s="25" t="inlineStr">
        <is>
          <t>Optional Claude</t>
        </is>
      </c>
      <c r="C15" s="36">
        <f>claude_per_cbo</f>
        <v/>
      </c>
      <c r="D15" s="2" t="inlineStr">
        <is>
          <t>Zero unless you type a value on Assumptions.</t>
        </is>
      </c>
    </row>
    <row r="16" ht="30" customHeight="1">
      <c r="B16" s="25" t="inlineStr">
        <is>
          <t>Variable cost of one more active CBO</t>
        </is>
      </c>
      <c r="C16" s="37">
        <f>sms_out_cost_per_cbo+sms_in_cost_per_cbo+azure_cost_per_cbo+gemini_doc_cost_per_cbo+gemini_research_cost_per_cbo+gemini_sms_cost_per_cbo+claude_cost_per_cbo</f>
        <v/>
      </c>
      <c r="D16" s="2" t="inlineStr">
        <is>
          <t>Added every month. Storage, Firestore, Maps, and Cloud Run are extra only after a free allowance is used up.</t>
        </is>
      </c>
    </row>
    <row r="18">
      <c r="B18" s="33" t="inlineStr">
        <is>
          <t>Per active funder, each month</t>
        </is>
      </c>
      <c r="C18" s="34" t="n"/>
      <c r="D18" s="34" t="n"/>
    </row>
    <row r="19" ht="30" customHeight="1">
      <c r="B19" s="25" t="inlineStr">
        <is>
          <t>Gemini per marketplace search</t>
        </is>
      </c>
      <c r="C19" s="36">
        <f>((interpret_input_tokens+rank_input_tokens)/1000000)*price_gemini_in+((interpret_output_tokens+rank_output_tokens)/1000000)*price_gemini_out</f>
        <v/>
      </c>
      <c r="D19" s="2" t="inlineStr">
        <is>
          <t>Interpret plus a capped ranking call.</t>
        </is>
      </c>
    </row>
    <row r="20" ht="30" customHeight="1">
      <c r="B20" s="25" t="inlineStr">
        <is>
          <t>Gemini on that funder's searches</t>
        </is>
      </c>
      <c r="C20" s="36">
        <f>ai_searches_per_funder*gemini_cost_per_search</f>
        <v/>
      </c>
      <c r="D20" s="2" t="inlineStr"/>
    </row>
    <row r="21" ht="30" customHeight="1">
      <c r="B21" s="25" t="inlineStr">
        <is>
          <t>Gemini on questions</t>
        </is>
      </c>
      <c r="C21" s="36">
        <f>questions_per_funder*((question_input_tokens/1000000)*price_gemini_in+(question_output_tokens/1000000)*price_gemini_out)</f>
        <v/>
      </c>
      <c r="D21" s="2" t="inlineStr"/>
    </row>
    <row r="22" ht="30" customHeight="1">
      <c r="B22" s="25" t="inlineStr">
        <is>
          <t>OpenAI funding audits</t>
        </is>
      </c>
      <c r="C22" s="36">
        <f>audits_per_funder*((audit_input_tokens/1000000)*price_openai_in+(audit_output_tokens/1000000)*price_openai_out)</f>
        <v/>
      </c>
      <c r="D22" s="2" t="inlineStr"/>
    </row>
    <row r="23" ht="30" customHeight="1">
      <c r="B23" s="25" t="inlineStr">
        <is>
          <t>Data transfer</t>
        </is>
      </c>
      <c r="C23" s="36">
        <f>(egress_mb_per_funder/1024)*price_egress_gb</f>
        <v/>
      </c>
      <c r="D23" s="2" t="inlineStr">
        <is>
          <t>Before any included transfer, which this model sets at zero.</t>
        </is>
      </c>
    </row>
    <row r="24" ht="30" customHeight="1">
      <c r="B24" s="25" t="inlineStr">
        <is>
          <t>Variable cost of one more active funder</t>
        </is>
      </c>
      <c r="C24" s="37">
        <f>gemini_search_cost_per_funder+gemini_question_cost_per_funder+openai_cost_per_funder+egress_cost_per_funder</f>
        <v/>
      </c>
      <c r="D24" s="2" t="inlineStr">
        <is>
          <t>Map loads are free until the project passes 10,000 a month, so they are not in this slope.</t>
        </is>
      </c>
    </row>
    <row r="26">
      <c r="B26" s="33" t="inlineStr">
        <is>
          <t>Platform floor, before usage</t>
        </is>
      </c>
      <c r="C26" s="34" t="n"/>
      <c r="D26" s="34" t="n"/>
    </row>
    <row r="27" ht="30" customHeight="1">
      <c r="B27" s="25" t="inlineStr">
        <is>
          <t>Fixed fees</t>
        </is>
      </c>
      <c r="C27" s="37">
        <f>price_secrets+price_misc+price_phone_number*phone_numbers</f>
        <v/>
      </c>
      <c r="D27" s="2" t="inlineStr">
        <is>
          <t>Number rental, secrets, domain, and a log buffer. Does not change with users.</t>
        </is>
      </c>
    </row>
    <row r="28" ht="30" customHeight="1">
      <c r="B28" s="25" t="inlineStr">
        <is>
          <t>Floor while both sides are under the medium-database step</t>
        </is>
      </c>
      <c r="C28" s="37">
        <f>price_sql_micro+platform_fixed_fees+min_instances*price_warm_instance</f>
        <v/>
      </c>
      <c r="D28" s="2" t="inlineStr">
        <is>
          <t>What you pay in a quiet month before SMS and documents.</t>
        </is>
      </c>
    </row>
    <row r="30">
      <c r="B30" s="33" t="inlineStr">
        <is>
          <t>One-time cost to bring one CBO online</t>
        </is>
      </c>
      <c r="C30" s="34" t="n"/>
      <c r="D30" s="34" t="n"/>
    </row>
    <row r="31" ht="30" customHeight="1">
      <c r="B31" s="25" t="inlineStr">
        <is>
          <t>Onboarding SMS</t>
        </is>
      </c>
      <c r="C31" s="37">
        <f>onboard_segments*price_kenya_sms</f>
        <v/>
      </c>
      <c r="D31" s="2" t="inlineStr">
        <is>
          <t>One link text to the CBO leader. The form itself has no per-signup fee.</t>
        </is>
      </c>
    </row>
    <row r="32" ht="30" customHeight="1">
      <c r="B32" s="25" t="inlineStr">
        <is>
          <t>First document batch</t>
        </is>
      </c>
      <c r="C32" s="37">
        <f>initial_pages*(price_azure_page+gemini_doc_cost_per_page)</f>
        <v/>
      </c>
      <c r="D32" s="2" t="inlineStr">
        <is>
          <t>Azure plus Gemini for the signup backlog.</t>
        </is>
      </c>
    </row>
    <row r="33" ht="30" customHeight="1">
      <c r="B33" s="25" t="inlineStr">
        <is>
          <t>First web-research pass</t>
        </is>
      </c>
      <c r="C33" s="37">
        <f>(research_input_tokens/1000000)*price_gemini_in+(research_output_tokens/1000000)*price_gemini_out</f>
        <v/>
      </c>
      <c r="D33" s="2" t="inlineStr">
        <is>
          <t>Google queries for a few hundred signups still sit inside the free search quota.</t>
        </is>
      </c>
    </row>
    <row r="34" ht="30" customHeight="1">
      <c r="B34" s="25" t="inlineStr">
        <is>
          <t>One-time total per new CBO</t>
        </is>
      </c>
      <c r="C34" s="37">
        <f>onboard_sms_per_cbo+initial_docs_per_cbo+initial_research_per_cbo</f>
        <v/>
      </c>
      <c r="D34" s="2" t="inlineStr">
        <is>
          <t>Paid when they join. It does not repeat. The monthly cost starts on top of this.</t>
        </is>
      </c>
    </row>
    <row r="36" ht="36" customHeight="1">
      <c r="B36" s="2" t="inlineStr">
        <is>
          <t>A quick reading: monthly cost is about the floor for that database size, plus the per-CBO amount times CBOs, plus the per-funder amount times funders. The scenario sheets are exact, because they also apply free tiers and the database step.</t>
        </is>
      </c>
    </row>
  </sheetData>
  <mergeCells count="6">
    <mergeCell ref="B36:D36"/>
    <mergeCell ref="B4:D4"/>
    <mergeCell ref="B26:D26"/>
    <mergeCell ref="B18:D18"/>
    <mergeCell ref="B30:D30"/>
    <mergeCell ref="B2:D2"/>
  </mergeCells>
  <pageMargins left="0.5" right="0.5" top="0.7" bottom="0.6" header="0.5" footer="0.5"/>
  <pageSetup orientation="landscape" paperSize="3" fitToHeight="1" fitToWidth="1"/>
  <headerFooter>
    <oddHeader>&amp;LKumbu Connect  ·  production cost model</oddHeader>
    <oddFooter>&amp;LPlanning estimates from public list prices. Not an invoice.&amp;RPage &amp;P</oddFooter>
    <evenHeader/>
    <evenFooter/>
    <firstHeader/>
    <firstFooter/>
  </headerFooter>
</worksheet>
</file>

<file path=xl/worksheets/sheet4.xml><?xml version="1.0" encoding="utf-8"?>
<worksheet xmlns="http://schemas.openxmlformats.org/spreadsheetml/2006/main">
  <sheetPr>
    <tabColor rgb="003D6B99"/>
    <outlinePr summaryBelow="1" summaryRight="1"/>
    <pageSetUpPr fitToPage="1"/>
  </sheetPr>
  <dimension ref="A1:AD41"/>
  <sheetViews>
    <sheetView showGridLines="0" zoomScale="11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3" customWidth="1" min="6" max="6"/>
    <col width="13" customWidth="1" min="7" max="7"/>
    <col width="13" customWidth="1" min="8" max="8"/>
    <col width="14" customWidth="1" min="9" max="9"/>
    <col width="13" customWidth="1" min="10" max="10"/>
    <col width="13" customWidth="1" min="11" max="11"/>
    <col width="13" customWidth="1" min="12" max="12"/>
    <col width="14" customWidth="1" min="13" max="13"/>
    <col width="14" customWidth="1" min="14" max="14"/>
    <col width="14" customWidth="1" min="15" max="15"/>
    <col width="13" customWidth="1" min="16" max="16"/>
    <col width="13" customWidth="1" min="17" max="17"/>
    <col width="13" customWidth="1" min="18" max="18"/>
    <col width="13" customWidth="1" min="19" max="19"/>
    <col width="12" customWidth="1" min="20" max="20"/>
    <col width="12" customWidth="1" min="21" max="21"/>
    <col width="15" customWidth="1" min="22" max="22"/>
    <col width="15" customWidth="1" min="23" max="23"/>
    <col width="13" customWidth="1" min="24" max="24"/>
    <col width="12" customWidth="1" min="25" max="25"/>
    <col width="13" customWidth="1" min="26" max="26"/>
    <col width="14" customWidth="1" min="27" max="27"/>
    <col width="14" customWidth="1" min="28" max="28"/>
    <col width="16" customWidth="1" min="29" max="29"/>
    <col width="16" customWidth="1" min="30" max="30"/>
  </cols>
  <sheetData>
    <row r="1" ht="28" customHeight="1">
      <c r="A1" s="1" t="inlineStr">
        <is>
          <t>Every combination</t>
        </is>
      </c>
    </row>
    <row r="2" ht="22" customHeight="1">
      <c r="A2" s="2" t="inlineStr">
        <is>
          <t>One row is one live month at that size. Totals sum the component columns. Change a yellow input and this table follows.</t>
        </is>
      </c>
    </row>
    <row r="4" ht="20" customHeight="1">
      <c r="A4" s="18" t="inlineStr">
        <is>
          <t>Scale</t>
        </is>
      </c>
      <c r="B4" s="38" t="n"/>
      <c r="C4" s="7" t="inlineStr">
        <is>
          <t>Hosting</t>
        </is>
      </c>
      <c r="D4" s="39" t="n"/>
      <c r="E4" s="39" t="n"/>
      <c r="F4" s="39" t="n"/>
      <c r="G4" s="39" t="n"/>
      <c r="H4" s="39" t="n"/>
      <c r="I4" s="40" t="inlineStr">
        <is>
          <t>SMS</t>
        </is>
      </c>
      <c r="J4" s="41" t="n"/>
      <c r="K4" s="42" t="inlineStr">
        <is>
          <t>Documents and research</t>
        </is>
      </c>
      <c r="L4" s="43" t="n"/>
      <c r="M4" s="43" t="n"/>
      <c r="N4" s="44" t="inlineStr">
        <is>
          <t>Funder intelligence</t>
        </is>
      </c>
      <c r="O4" s="45" t="n"/>
      <c r="P4" s="45" t="n"/>
      <c r="Q4" s="45" t="n"/>
      <c r="R4" s="45" t="n"/>
      <c r="S4" s="46" t="inlineStr">
        <is>
          <t>Maps and search</t>
        </is>
      </c>
      <c r="T4" s="47" t="n"/>
      <c r="U4" s="47" t="n"/>
      <c r="V4" s="18" t="inlineStr">
        <is>
          <t>Totals</t>
        </is>
      </c>
      <c r="W4" s="38" t="n"/>
      <c r="X4" s="38" t="n"/>
      <c r="Y4" s="38" t="n"/>
      <c r="Z4" s="38" t="n"/>
      <c r="AA4" s="48" t="inlineStr">
        <is>
          <t>Allowance used</t>
        </is>
      </c>
      <c r="AB4" s="49" t="n"/>
      <c r="AC4" s="49" t="n"/>
      <c r="AD4" s="49" t="n"/>
    </row>
    <row r="5" ht="36" customHeight="1">
      <c r="A5" s="7" t="inlineStr">
        <is>
          <t>Active CBOs</t>
        </is>
      </c>
      <c r="B5" s="7" t="inlineStr">
        <is>
          <t>Active funders</t>
        </is>
      </c>
      <c r="C5" s="7" t="inlineStr">
        <is>
          <t>Database</t>
        </is>
      </c>
      <c r="D5" s="7" t="inlineStr">
        <is>
          <t>Fixed fees</t>
        </is>
      </c>
      <c r="E5" s="7" t="inlineStr">
        <is>
          <t>Cloud Run</t>
        </is>
      </c>
      <c r="F5" s="7" t="inlineStr">
        <is>
          <t>File storage</t>
        </is>
      </c>
      <c r="G5" s="7" t="inlineStr">
        <is>
          <t>Data transfer</t>
        </is>
      </c>
      <c r="H5" s="7" t="inlineStr">
        <is>
          <t>Firestore</t>
        </is>
      </c>
      <c r="I5" s="7" t="inlineStr">
        <is>
          <t>SMS to Kenya</t>
        </is>
      </c>
      <c r="J5" s="7" t="inlineStr">
        <is>
          <t>SMS replies</t>
        </is>
      </c>
      <c r="K5" s="7" t="inlineStr">
        <is>
          <t>Azure pages</t>
        </is>
      </c>
      <c r="L5" s="7" t="inlineStr">
        <is>
          <t>Gemini documents</t>
        </is>
      </c>
      <c r="M5" s="7" t="inlineStr">
        <is>
          <t>Gemini research</t>
        </is>
      </c>
      <c r="N5" s="7" t="inlineStr">
        <is>
          <t>Gemini search</t>
        </is>
      </c>
      <c r="O5" s="7" t="inlineStr">
        <is>
          <t>Gemini questions</t>
        </is>
      </c>
      <c r="P5" s="7" t="inlineStr">
        <is>
          <t>Gemini SMS</t>
        </is>
      </c>
      <c r="Q5" s="7" t="inlineStr">
        <is>
          <t>OpenAI audits</t>
        </is>
      </c>
      <c r="R5" s="7" t="inlineStr">
        <is>
          <t>Claude</t>
        </is>
      </c>
      <c r="S5" s="7" t="inlineStr">
        <is>
          <t>Web search</t>
        </is>
      </c>
      <c r="T5" s="7" t="inlineStr">
        <is>
          <t>Map loads</t>
        </is>
      </c>
      <c r="U5" s="7" t="inlineStr">
        <is>
          <t>Geocoding</t>
        </is>
      </c>
      <c r="V5" s="7" t="inlineStr">
        <is>
          <t>Monthly total</t>
        </is>
      </c>
      <c r="W5" s="7" t="inlineStr">
        <is>
          <t>Annual total</t>
        </is>
      </c>
      <c r="X5" s="7" t="inlineStr">
        <is>
          <t>Per CBO</t>
        </is>
      </c>
      <c r="Y5" s="7" t="inlineStr">
        <is>
          <t>SMS share</t>
        </is>
      </c>
      <c r="Z5" s="7" t="inlineStr">
        <is>
          <t>Hosting share</t>
        </is>
      </c>
      <c r="AA5" s="7" t="inlineStr">
        <is>
          <t>Map loads used</t>
        </is>
      </c>
      <c r="AB5" s="7" t="inlineStr">
        <is>
          <t>Search queries</t>
        </is>
      </c>
      <c r="AC5" s="7" t="inlineStr">
        <is>
          <t>vCPU-seconds</t>
        </is>
      </c>
      <c r="AD5" s="7" t="inlineStr">
        <is>
          <t>vCPU left in free tier</t>
        </is>
      </c>
    </row>
    <row r="6" ht="20" customHeight="1">
      <c r="A6" s="8">
        <f>cbo_tier_1</f>
        <v/>
      </c>
      <c r="B6" s="8">
        <f>funder_tier_1</f>
        <v/>
      </c>
      <c r="C6" s="11">
        <f>IF(OR(A6&gt;=step_std_at,B6&gt;=step_std_at),price_sql_std,IF(OR(A6&gt;=step_small_at,B6&gt;=step_small_at),price_sql_small,price_sql_micro))</f>
        <v/>
      </c>
      <c r="D6" s="11">
        <f>platform_fixed_fees</f>
        <v/>
      </c>
      <c r="E6" s="11">
        <f>MAX(0,AC6-free_vcpu)*price_vcpu+MAX(0,AC6*memory_gib-free_gib)*price_gib+MAX(0,(A6*cbo_http_requests+B6*funder_http_requests+A6*sms_in_segments_per_cbo)-free_requests)/1000000*price_million_requests+min_instances*price_warm_instance</f>
        <v/>
      </c>
      <c r="F6" s="11">
        <f>MAX(0,A6*storage_mb_per_cbo/1024-free_storage_gb)*price_storage_gb</f>
        <v/>
      </c>
      <c r="G6" s="11">
        <f>MAX(0,B6*egress_mb_per_funder/1024-free_egress_gb)*price_egress_gb</f>
        <v/>
      </c>
      <c r="H6" s="11">
        <f>MAX(0,A6*firestore_writes_per_cbo-free_fs_writes)/100000*price_fs_write+MAX(0,A6*firestore_reads_per_cbo-free_fs_reads)/100000*price_fs_read</f>
        <v/>
      </c>
      <c r="I6" s="11">
        <f>A6*sms_out_cost_per_cbo</f>
        <v/>
      </c>
      <c r="J6" s="11">
        <f>A6*sms_in_cost_per_cbo</f>
        <v/>
      </c>
      <c r="K6" s="11">
        <f>A6*azure_cost_per_cbo</f>
        <v/>
      </c>
      <c r="L6" s="11">
        <f>A6*gemini_doc_cost_per_cbo</f>
        <v/>
      </c>
      <c r="M6" s="11">
        <f>A6*gemini_research_cost_per_cbo</f>
        <v/>
      </c>
      <c r="N6" s="11">
        <f>B6*gemini_search_cost_per_funder</f>
        <v/>
      </c>
      <c r="O6" s="11">
        <f>B6*gemini_question_cost_per_funder</f>
        <v/>
      </c>
      <c r="P6" s="11">
        <f>A6*gemini_sms_cost_per_cbo</f>
        <v/>
      </c>
      <c r="Q6" s="11">
        <f>B6*openai_cost_per_funder</f>
        <v/>
      </c>
      <c r="R6" s="11">
        <f>A6*claude_cost_per_cbo</f>
        <v/>
      </c>
      <c r="S6" s="11">
        <f>MAX(0,AB6-free_search)/1000*price_search_1k</f>
        <v/>
      </c>
      <c r="T6" s="11">
        <f>MAX(0,AA6-free_maps)/1000*price_map_1k</f>
        <v/>
      </c>
      <c r="U6" s="11">
        <f>MAX(0,A6*geocode_updates_per_cbo-free_geocode)/1000*price_geocode_1k</f>
        <v/>
      </c>
      <c r="V6" s="50">
        <f>SUM(C6:U6)</f>
        <v/>
      </c>
      <c r="W6" s="10">
        <f>V6*12</f>
        <v/>
      </c>
      <c r="X6" s="11">
        <f>IF(A6=0,NA(),V6/A6)</f>
        <v/>
      </c>
      <c r="Y6" s="12">
        <f>IF(V6=0,0,(I6+J6)/V6)</f>
        <v/>
      </c>
      <c r="Z6" s="12">
        <f>IF(V6=0,0,SUM(C6:H6)/V6)</f>
        <v/>
      </c>
      <c r="AA6" s="8">
        <f>B6*map_loads_per_funder</f>
        <v/>
      </c>
      <c r="AB6" s="8">
        <f>A6*refreshes_per_cbo_month*searches_per_refresh+B6*audits_per_funder*searches_per_audit</f>
        <v/>
      </c>
      <c r="AC6" s="8">
        <f>(A6*cbo_http_requests+B6*funder_http_requests+A6*sms_in_segments_per_cbo)*request_vcpu_seconds+A6*pages_per_cbo_month*page_vcpu_seconds</f>
        <v/>
      </c>
      <c r="AD6" s="8">
        <f>free_vcpu-AC6</f>
        <v/>
      </c>
    </row>
    <row r="7" ht="20" customHeight="1">
      <c r="A7" s="8">
        <f>cbo_tier_1</f>
        <v/>
      </c>
      <c r="B7" s="8">
        <f>funder_tier_2</f>
        <v/>
      </c>
      <c r="C7" s="11">
        <f>IF(OR(A7&gt;=step_std_at,B7&gt;=step_std_at),price_sql_std,IF(OR(A7&gt;=step_small_at,B7&gt;=step_small_at),price_sql_small,price_sql_micro))</f>
        <v/>
      </c>
      <c r="D7" s="11">
        <f>platform_fixed_fees</f>
        <v/>
      </c>
      <c r="E7" s="11">
        <f>MAX(0,AC7-free_vcpu)*price_vcpu+MAX(0,AC7*memory_gib-free_gib)*price_gib+MAX(0,(A7*cbo_http_requests+B7*funder_http_requests+A7*sms_in_segments_per_cbo)-free_requests)/1000000*price_million_requests+min_instances*price_warm_instance</f>
        <v/>
      </c>
      <c r="F7" s="11">
        <f>MAX(0,A7*storage_mb_per_cbo/1024-free_storage_gb)*price_storage_gb</f>
        <v/>
      </c>
      <c r="G7" s="11">
        <f>MAX(0,B7*egress_mb_per_funder/1024-free_egress_gb)*price_egress_gb</f>
        <v/>
      </c>
      <c r="H7" s="11">
        <f>MAX(0,A7*firestore_writes_per_cbo-free_fs_writes)/100000*price_fs_write+MAX(0,A7*firestore_reads_per_cbo-free_fs_reads)/100000*price_fs_read</f>
        <v/>
      </c>
      <c r="I7" s="11">
        <f>A7*sms_out_cost_per_cbo</f>
        <v/>
      </c>
      <c r="J7" s="11">
        <f>A7*sms_in_cost_per_cbo</f>
        <v/>
      </c>
      <c r="K7" s="11">
        <f>A7*azure_cost_per_cbo</f>
        <v/>
      </c>
      <c r="L7" s="11">
        <f>A7*gemini_doc_cost_per_cbo</f>
        <v/>
      </c>
      <c r="M7" s="11">
        <f>A7*gemini_research_cost_per_cbo</f>
        <v/>
      </c>
      <c r="N7" s="11">
        <f>B7*gemini_search_cost_per_funder</f>
        <v/>
      </c>
      <c r="O7" s="11">
        <f>B7*gemini_question_cost_per_funder</f>
        <v/>
      </c>
      <c r="P7" s="11">
        <f>A7*gemini_sms_cost_per_cbo</f>
        <v/>
      </c>
      <c r="Q7" s="11">
        <f>B7*openai_cost_per_funder</f>
        <v/>
      </c>
      <c r="R7" s="11">
        <f>A7*claude_cost_per_cbo</f>
        <v/>
      </c>
      <c r="S7" s="11">
        <f>MAX(0,AB7-free_search)/1000*price_search_1k</f>
        <v/>
      </c>
      <c r="T7" s="11">
        <f>MAX(0,AA7-free_maps)/1000*price_map_1k</f>
        <v/>
      </c>
      <c r="U7" s="11">
        <f>MAX(0,A7*geocode_updates_per_cbo-free_geocode)/1000*price_geocode_1k</f>
        <v/>
      </c>
      <c r="V7" s="50">
        <f>SUM(C7:U7)</f>
        <v/>
      </c>
      <c r="W7" s="10">
        <f>V7*12</f>
        <v/>
      </c>
      <c r="X7" s="11">
        <f>IF(A7=0,NA(),V7/A7)</f>
        <v/>
      </c>
      <c r="Y7" s="12">
        <f>IF(V7=0,0,(I7+J7)/V7)</f>
        <v/>
      </c>
      <c r="Z7" s="12">
        <f>IF(V7=0,0,SUM(C7:H7)/V7)</f>
        <v/>
      </c>
      <c r="AA7" s="8">
        <f>B7*map_loads_per_funder</f>
        <v/>
      </c>
      <c r="AB7" s="8">
        <f>A7*refreshes_per_cbo_month*searches_per_refresh+B7*audits_per_funder*searches_per_audit</f>
        <v/>
      </c>
      <c r="AC7" s="8">
        <f>(A7*cbo_http_requests+B7*funder_http_requests+A7*sms_in_segments_per_cbo)*request_vcpu_seconds+A7*pages_per_cbo_month*page_vcpu_seconds</f>
        <v/>
      </c>
      <c r="AD7" s="8">
        <f>free_vcpu-AC7</f>
        <v/>
      </c>
    </row>
    <row r="8" ht="20" customHeight="1">
      <c r="A8" s="8">
        <f>cbo_tier_1</f>
        <v/>
      </c>
      <c r="B8" s="8">
        <f>funder_tier_3</f>
        <v/>
      </c>
      <c r="C8" s="11">
        <f>IF(OR(A8&gt;=step_std_at,B8&gt;=step_std_at),price_sql_std,IF(OR(A8&gt;=step_small_at,B8&gt;=step_small_at),price_sql_small,price_sql_micro))</f>
        <v/>
      </c>
      <c r="D8" s="11">
        <f>platform_fixed_fees</f>
        <v/>
      </c>
      <c r="E8" s="11">
        <f>MAX(0,AC8-free_vcpu)*price_vcpu+MAX(0,AC8*memory_gib-free_gib)*price_gib+MAX(0,(A8*cbo_http_requests+B8*funder_http_requests+A8*sms_in_segments_per_cbo)-free_requests)/1000000*price_million_requests+min_instances*price_warm_instance</f>
        <v/>
      </c>
      <c r="F8" s="11">
        <f>MAX(0,A8*storage_mb_per_cbo/1024-free_storage_gb)*price_storage_gb</f>
        <v/>
      </c>
      <c r="G8" s="11">
        <f>MAX(0,B8*egress_mb_per_funder/1024-free_egress_gb)*price_egress_gb</f>
        <v/>
      </c>
      <c r="H8" s="11">
        <f>MAX(0,A8*firestore_writes_per_cbo-free_fs_writes)/100000*price_fs_write+MAX(0,A8*firestore_reads_per_cbo-free_fs_reads)/100000*price_fs_read</f>
        <v/>
      </c>
      <c r="I8" s="11">
        <f>A8*sms_out_cost_per_cbo</f>
        <v/>
      </c>
      <c r="J8" s="11">
        <f>A8*sms_in_cost_per_cbo</f>
        <v/>
      </c>
      <c r="K8" s="11">
        <f>A8*azure_cost_per_cbo</f>
        <v/>
      </c>
      <c r="L8" s="11">
        <f>A8*gemini_doc_cost_per_cbo</f>
        <v/>
      </c>
      <c r="M8" s="11">
        <f>A8*gemini_research_cost_per_cbo</f>
        <v/>
      </c>
      <c r="N8" s="11">
        <f>B8*gemini_search_cost_per_funder</f>
        <v/>
      </c>
      <c r="O8" s="11">
        <f>B8*gemini_question_cost_per_funder</f>
        <v/>
      </c>
      <c r="P8" s="11">
        <f>A8*gemini_sms_cost_per_cbo</f>
        <v/>
      </c>
      <c r="Q8" s="11">
        <f>B8*openai_cost_per_funder</f>
        <v/>
      </c>
      <c r="R8" s="11">
        <f>A8*claude_cost_per_cbo</f>
        <v/>
      </c>
      <c r="S8" s="11">
        <f>MAX(0,AB8-free_search)/1000*price_search_1k</f>
        <v/>
      </c>
      <c r="T8" s="11">
        <f>MAX(0,AA8-free_maps)/1000*price_map_1k</f>
        <v/>
      </c>
      <c r="U8" s="11">
        <f>MAX(0,A8*geocode_updates_per_cbo-free_geocode)/1000*price_geocode_1k</f>
        <v/>
      </c>
      <c r="V8" s="50">
        <f>SUM(C8:U8)</f>
        <v/>
      </c>
      <c r="W8" s="10">
        <f>V8*12</f>
        <v/>
      </c>
      <c r="X8" s="11">
        <f>IF(A8=0,NA(),V8/A8)</f>
        <v/>
      </c>
      <c r="Y8" s="12">
        <f>IF(V8=0,0,(I8+J8)/V8)</f>
        <v/>
      </c>
      <c r="Z8" s="12">
        <f>IF(V8=0,0,SUM(C8:H8)/V8)</f>
        <v/>
      </c>
      <c r="AA8" s="8">
        <f>B8*map_loads_per_funder</f>
        <v/>
      </c>
      <c r="AB8" s="8">
        <f>A8*refreshes_per_cbo_month*searches_per_refresh+B8*audits_per_funder*searches_per_audit</f>
        <v/>
      </c>
      <c r="AC8" s="8">
        <f>(A8*cbo_http_requests+B8*funder_http_requests+A8*sms_in_segments_per_cbo)*request_vcpu_seconds+A8*pages_per_cbo_month*page_vcpu_seconds</f>
        <v/>
      </c>
      <c r="AD8" s="8">
        <f>free_vcpu-AC8</f>
        <v/>
      </c>
    </row>
    <row r="9" ht="20" customHeight="1">
      <c r="A9" s="8">
        <f>cbo_tier_1</f>
        <v/>
      </c>
      <c r="B9" s="8">
        <f>funder_tier_4</f>
        <v/>
      </c>
      <c r="C9" s="11">
        <f>IF(OR(A9&gt;=step_std_at,B9&gt;=step_std_at),price_sql_std,IF(OR(A9&gt;=step_small_at,B9&gt;=step_small_at),price_sql_small,price_sql_micro))</f>
        <v/>
      </c>
      <c r="D9" s="11">
        <f>platform_fixed_fees</f>
        <v/>
      </c>
      <c r="E9" s="11">
        <f>MAX(0,AC9-free_vcpu)*price_vcpu+MAX(0,AC9*memory_gib-free_gib)*price_gib+MAX(0,(A9*cbo_http_requests+B9*funder_http_requests+A9*sms_in_segments_per_cbo)-free_requests)/1000000*price_million_requests+min_instances*price_warm_instance</f>
        <v/>
      </c>
      <c r="F9" s="11">
        <f>MAX(0,A9*storage_mb_per_cbo/1024-free_storage_gb)*price_storage_gb</f>
        <v/>
      </c>
      <c r="G9" s="11">
        <f>MAX(0,B9*egress_mb_per_funder/1024-free_egress_gb)*price_egress_gb</f>
        <v/>
      </c>
      <c r="H9" s="11">
        <f>MAX(0,A9*firestore_writes_per_cbo-free_fs_writes)/100000*price_fs_write+MAX(0,A9*firestore_reads_per_cbo-free_fs_reads)/100000*price_fs_read</f>
        <v/>
      </c>
      <c r="I9" s="11">
        <f>A9*sms_out_cost_per_cbo</f>
        <v/>
      </c>
      <c r="J9" s="11">
        <f>A9*sms_in_cost_per_cbo</f>
        <v/>
      </c>
      <c r="K9" s="11">
        <f>A9*azure_cost_per_cbo</f>
        <v/>
      </c>
      <c r="L9" s="11">
        <f>A9*gemini_doc_cost_per_cbo</f>
        <v/>
      </c>
      <c r="M9" s="11">
        <f>A9*gemini_research_cost_per_cbo</f>
        <v/>
      </c>
      <c r="N9" s="11">
        <f>B9*gemini_search_cost_per_funder</f>
        <v/>
      </c>
      <c r="O9" s="11">
        <f>B9*gemini_question_cost_per_funder</f>
        <v/>
      </c>
      <c r="P9" s="11">
        <f>A9*gemini_sms_cost_per_cbo</f>
        <v/>
      </c>
      <c r="Q9" s="11">
        <f>B9*openai_cost_per_funder</f>
        <v/>
      </c>
      <c r="R9" s="11">
        <f>A9*claude_cost_per_cbo</f>
        <v/>
      </c>
      <c r="S9" s="11">
        <f>MAX(0,AB9-free_search)/1000*price_search_1k</f>
        <v/>
      </c>
      <c r="T9" s="11">
        <f>MAX(0,AA9-free_maps)/1000*price_map_1k</f>
        <v/>
      </c>
      <c r="U9" s="11">
        <f>MAX(0,A9*geocode_updates_per_cbo-free_geocode)/1000*price_geocode_1k</f>
        <v/>
      </c>
      <c r="V9" s="50">
        <f>SUM(C9:U9)</f>
        <v/>
      </c>
      <c r="W9" s="10">
        <f>V9*12</f>
        <v/>
      </c>
      <c r="X9" s="11">
        <f>IF(A9=0,NA(),V9/A9)</f>
        <v/>
      </c>
      <c r="Y9" s="12">
        <f>IF(V9=0,0,(I9+J9)/V9)</f>
        <v/>
      </c>
      <c r="Z9" s="12">
        <f>IF(V9=0,0,SUM(C9:H9)/V9)</f>
        <v/>
      </c>
      <c r="AA9" s="8">
        <f>B9*map_loads_per_funder</f>
        <v/>
      </c>
      <c r="AB9" s="8">
        <f>A9*refreshes_per_cbo_month*searches_per_refresh+B9*audits_per_funder*searches_per_audit</f>
        <v/>
      </c>
      <c r="AC9" s="8">
        <f>(A9*cbo_http_requests+B9*funder_http_requests+A9*sms_in_segments_per_cbo)*request_vcpu_seconds+A9*pages_per_cbo_month*page_vcpu_seconds</f>
        <v/>
      </c>
      <c r="AD9" s="8">
        <f>free_vcpu-AC9</f>
        <v/>
      </c>
    </row>
    <row r="10" ht="20" customHeight="1">
      <c r="A10" s="8">
        <f>cbo_tier_1</f>
        <v/>
      </c>
      <c r="B10" s="8">
        <f>funder_tier_5</f>
        <v/>
      </c>
      <c r="C10" s="11">
        <f>IF(OR(A10&gt;=step_std_at,B10&gt;=step_std_at),price_sql_std,IF(OR(A10&gt;=step_small_at,B10&gt;=step_small_at),price_sql_small,price_sql_micro))</f>
        <v/>
      </c>
      <c r="D10" s="11">
        <f>platform_fixed_fees</f>
        <v/>
      </c>
      <c r="E10" s="11">
        <f>MAX(0,AC10-free_vcpu)*price_vcpu+MAX(0,AC10*memory_gib-free_gib)*price_gib+MAX(0,(A10*cbo_http_requests+B10*funder_http_requests+A10*sms_in_segments_per_cbo)-free_requests)/1000000*price_million_requests+min_instances*price_warm_instance</f>
        <v/>
      </c>
      <c r="F10" s="11">
        <f>MAX(0,A10*storage_mb_per_cbo/1024-free_storage_gb)*price_storage_gb</f>
        <v/>
      </c>
      <c r="G10" s="11">
        <f>MAX(0,B10*egress_mb_per_funder/1024-free_egress_gb)*price_egress_gb</f>
        <v/>
      </c>
      <c r="H10" s="11">
        <f>MAX(0,A10*firestore_writes_per_cbo-free_fs_writes)/100000*price_fs_write+MAX(0,A10*firestore_reads_per_cbo-free_fs_reads)/100000*price_fs_read</f>
        <v/>
      </c>
      <c r="I10" s="11">
        <f>A10*sms_out_cost_per_cbo</f>
        <v/>
      </c>
      <c r="J10" s="11">
        <f>A10*sms_in_cost_per_cbo</f>
        <v/>
      </c>
      <c r="K10" s="11">
        <f>A10*azure_cost_per_cbo</f>
        <v/>
      </c>
      <c r="L10" s="11">
        <f>A10*gemini_doc_cost_per_cbo</f>
        <v/>
      </c>
      <c r="M10" s="11">
        <f>A10*gemini_research_cost_per_cbo</f>
        <v/>
      </c>
      <c r="N10" s="11">
        <f>B10*gemini_search_cost_per_funder</f>
        <v/>
      </c>
      <c r="O10" s="11">
        <f>B10*gemini_question_cost_per_funder</f>
        <v/>
      </c>
      <c r="P10" s="11">
        <f>A10*gemini_sms_cost_per_cbo</f>
        <v/>
      </c>
      <c r="Q10" s="11">
        <f>B10*openai_cost_per_funder</f>
        <v/>
      </c>
      <c r="R10" s="11">
        <f>A10*claude_cost_per_cbo</f>
        <v/>
      </c>
      <c r="S10" s="11">
        <f>MAX(0,AB10-free_search)/1000*price_search_1k</f>
        <v/>
      </c>
      <c r="T10" s="11">
        <f>MAX(0,AA10-free_maps)/1000*price_map_1k</f>
        <v/>
      </c>
      <c r="U10" s="11">
        <f>MAX(0,A10*geocode_updates_per_cbo-free_geocode)/1000*price_geocode_1k</f>
        <v/>
      </c>
      <c r="V10" s="50">
        <f>SUM(C10:U10)</f>
        <v/>
      </c>
      <c r="W10" s="10">
        <f>V10*12</f>
        <v/>
      </c>
      <c r="X10" s="11">
        <f>IF(A10=0,NA(),V10/A10)</f>
        <v/>
      </c>
      <c r="Y10" s="12">
        <f>IF(V10=0,0,(I10+J10)/V10)</f>
        <v/>
      </c>
      <c r="Z10" s="12">
        <f>IF(V10=0,0,SUM(C10:H10)/V10)</f>
        <v/>
      </c>
      <c r="AA10" s="8">
        <f>B10*map_loads_per_funder</f>
        <v/>
      </c>
      <c r="AB10" s="8">
        <f>A10*refreshes_per_cbo_month*searches_per_refresh+B10*audits_per_funder*searches_per_audit</f>
        <v/>
      </c>
      <c r="AC10" s="8">
        <f>(A10*cbo_http_requests+B10*funder_http_requests+A10*sms_in_segments_per_cbo)*request_vcpu_seconds+A10*pages_per_cbo_month*page_vcpu_seconds</f>
        <v/>
      </c>
      <c r="AD10" s="8">
        <f>free_vcpu-AC10</f>
        <v/>
      </c>
    </row>
    <row r="11" ht="20" customHeight="1">
      <c r="A11" s="8">
        <f>cbo_tier_1</f>
        <v/>
      </c>
      <c r="B11" s="8">
        <f>funder_tier_6</f>
        <v/>
      </c>
      <c r="C11" s="11">
        <f>IF(OR(A11&gt;=step_std_at,B11&gt;=step_std_at),price_sql_std,IF(OR(A11&gt;=step_small_at,B11&gt;=step_small_at),price_sql_small,price_sql_micro))</f>
        <v/>
      </c>
      <c r="D11" s="11">
        <f>platform_fixed_fees</f>
        <v/>
      </c>
      <c r="E11" s="11">
        <f>MAX(0,AC11-free_vcpu)*price_vcpu+MAX(0,AC11*memory_gib-free_gib)*price_gib+MAX(0,(A11*cbo_http_requests+B11*funder_http_requests+A11*sms_in_segments_per_cbo)-free_requests)/1000000*price_million_requests+min_instances*price_warm_instance</f>
        <v/>
      </c>
      <c r="F11" s="11">
        <f>MAX(0,A11*storage_mb_per_cbo/1024-free_storage_gb)*price_storage_gb</f>
        <v/>
      </c>
      <c r="G11" s="11">
        <f>MAX(0,B11*egress_mb_per_funder/1024-free_egress_gb)*price_egress_gb</f>
        <v/>
      </c>
      <c r="H11" s="11">
        <f>MAX(0,A11*firestore_writes_per_cbo-free_fs_writes)/100000*price_fs_write+MAX(0,A11*firestore_reads_per_cbo-free_fs_reads)/100000*price_fs_read</f>
        <v/>
      </c>
      <c r="I11" s="11">
        <f>A11*sms_out_cost_per_cbo</f>
        <v/>
      </c>
      <c r="J11" s="11">
        <f>A11*sms_in_cost_per_cbo</f>
        <v/>
      </c>
      <c r="K11" s="11">
        <f>A11*azure_cost_per_cbo</f>
        <v/>
      </c>
      <c r="L11" s="11">
        <f>A11*gemini_doc_cost_per_cbo</f>
        <v/>
      </c>
      <c r="M11" s="11">
        <f>A11*gemini_research_cost_per_cbo</f>
        <v/>
      </c>
      <c r="N11" s="11">
        <f>B11*gemini_search_cost_per_funder</f>
        <v/>
      </c>
      <c r="O11" s="11">
        <f>B11*gemini_question_cost_per_funder</f>
        <v/>
      </c>
      <c r="P11" s="11">
        <f>A11*gemini_sms_cost_per_cbo</f>
        <v/>
      </c>
      <c r="Q11" s="11">
        <f>B11*openai_cost_per_funder</f>
        <v/>
      </c>
      <c r="R11" s="11">
        <f>A11*claude_cost_per_cbo</f>
        <v/>
      </c>
      <c r="S11" s="11">
        <f>MAX(0,AB11-free_search)/1000*price_search_1k</f>
        <v/>
      </c>
      <c r="T11" s="11">
        <f>MAX(0,AA11-free_maps)/1000*price_map_1k</f>
        <v/>
      </c>
      <c r="U11" s="11">
        <f>MAX(0,A11*geocode_updates_per_cbo-free_geocode)/1000*price_geocode_1k</f>
        <v/>
      </c>
      <c r="V11" s="50">
        <f>SUM(C11:U11)</f>
        <v/>
      </c>
      <c r="W11" s="10">
        <f>V11*12</f>
        <v/>
      </c>
      <c r="X11" s="11">
        <f>IF(A11=0,NA(),V11/A11)</f>
        <v/>
      </c>
      <c r="Y11" s="12">
        <f>IF(V11=0,0,(I11+J11)/V11)</f>
        <v/>
      </c>
      <c r="Z11" s="12">
        <f>IF(V11=0,0,SUM(C11:H11)/V11)</f>
        <v/>
      </c>
      <c r="AA11" s="8">
        <f>B11*map_loads_per_funder</f>
        <v/>
      </c>
      <c r="AB11" s="8">
        <f>A11*refreshes_per_cbo_month*searches_per_refresh+B11*audits_per_funder*searches_per_audit</f>
        <v/>
      </c>
      <c r="AC11" s="8">
        <f>(A11*cbo_http_requests+B11*funder_http_requests+A11*sms_in_segments_per_cbo)*request_vcpu_seconds+A11*pages_per_cbo_month*page_vcpu_seconds</f>
        <v/>
      </c>
      <c r="AD11" s="8">
        <f>free_vcpu-AC11</f>
        <v/>
      </c>
    </row>
    <row r="12" ht="20" customHeight="1">
      <c r="A12" s="13">
        <f>cbo_tier_2</f>
        <v/>
      </c>
      <c r="B12" s="13">
        <f>funder_tier_1</f>
        <v/>
      </c>
      <c r="C12" s="16">
        <f>IF(OR(A12&gt;=step_std_at,B12&gt;=step_std_at),price_sql_std,IF(OR(A12&gt;=step_small_at,B12&gt;=step_small_at),price_sql_small,price_sql_micro))</f>
        <v/>
      </c>
      <c r="D12" s="16">
        <f>platform_fixed_fees</f>
        <v/>
      </c>
      <c r="E12" s="16">
        <f>MAX(0,AC12-free_vcpu)*price_vcpu+MAX(0,AC12*memory_gib-free_gib)*price_gib+MAX(0,(A12*cbo_http_requests+B12*funder_http_requests+A12*sms_in_segments_per_cbo)-free_requests)/1000000*price_million_requests+min_instances*price_warm_instance</f>
        <v/>
      </c>
      <c r="F12" s="16">
        <f>MAX(0,A12*storage_mb_per_cbo/1024-free_storage_gb)*price_storage_gb</f>
        <v/>
      </c>
      <c r="G12" s="16">
        <f>MAX(0,B12*egress_mb_per_funder/1024-free_egress_gb)*price_egress_gb</f>
        <v/>
      </c>
      <c r="H12" s="16">
        <f>MAX(0,A12*firestore_writes_per_cbo-free_fs_writes)/100000*price_fs_write+MAX(0,A12*firestore_reads_per_cbo-free_fs_reads)/100000*price_fs_read</f>
        <v/>
      </c>
      <c r="I12" s="16">
        <f>A12*sms_out_cost_per_cbo</f>
        <v/>
      </c>
      <c r="J12" s="16">
        <f>A12*sms_in_cost_per_cbo</f>
        <v/>
      </c>
      <c r="K12" s="16">
        <f>A12*azure_cost_per_cbo</f>
        <v/>
      </c>
      <c r="L12" s="16">
        <f>A12*gemini_doc_cost_per_cbo</f>
        <v/>
      </c>
      <c r="M12" s="16">
        <f>A12*gemini_research_cost_per_cbo</f>
        <v/>
      </c>
      <c r="N12" s="16">
        <f>B12*gemini_search_cost_per_funder</f>
        <v/>
      </c>
      <c r="O12" s="16">
        <f>B12*gemini_question_cost_per_funder</f>
        <v/>
      </c>
      <c r="P12" s="16">
        <f>A12*gemini_sms_cost_per_cbo</f>
        <v/>
      </c>
      <c r="Q12" s="16">
        <f>B12*openai_cost_per_funder</f>
        <v/>
      </c>
      <c r="R12" s="16">
        <f>A12*claude_cost_per_cbo</f>
        <v/>
      </c>
      <c r="S12" s="16">
        <f>MAX(0,AB12-free_search)/1000*price_search_1k</f>
        <v/>
      </c>
      <c r="T12" s="16">
        <f>MAX(0,AA12-free_maps)/1000*price_map_1k</f>
        <v/>
      </c>
      <c r="U12" s="16">
        <f>MAX(0,A12*geocode_updates_per_cbo-free_geocode)/1000*price_geocode_1k</f>
        <v/>
      </c>
      <c r="V12" s="51">
        <f>SUM(C12:U12)</f>
        <v/>
      </c>
      <c r="W12" s="15">
        <f>V12*12</f>
        <v/>
      </c>
      <c r="X12" s="16">
        <f>IF(A12=0,NA(),V12/A12)</f>
        <v/>
      </c>
      <c r="Y12" s="17">
        <f>IF(V12=0,0,(I12+J12)/V12)</f>
        <v/>
      </c>
      <c r="Z12" s="17">
        <f>IF(V12=0,0,SUM(C12:H12)/V12)</f>
        <v/>
      </c>
      <c r="AA12" s="13">
        <f>B12*map_loads_per_funder</f>
        <v/>
      </c>
      <c r="AB12" s="13">
        <f>A12*refreshes_per_cbo_month*searches_per_refresh+B12*audits_per_funder*searches_per_audit</f>
        <v/>
      </c>
      <c r="AC12" s="13">
        <f>(A12*cbo_http_requests+B12*funder_http_requests+A12*sms_in_segments_per_cbo)*request_vcpu_seconds+A12*pages_per_cbo_month*page_vcpu_seconds</f>
        <v/>
      </c>
      <c r="AD12" s="13">
        <f>free_vcpu-AC12</f>
        <v/>
      </c>
    </row>
    <row r="13" ht="20" customHeight="1">
      <c r="A13" s="13">
        <f>cbo_tier_2</f>
        <v/>
      </c>
      <c r="B13" s="13">
        <f>funder_tier_2</f>
        <v/>
      </c>
      <c r="C13" s="16">
        <f>IF(OR(A13&gt;=step_std_at,B13&gt;=step_std_at),price_sql_std,IF(OR(A13&gt;=step_small_at,B13&gt;=step_small_at),price_sql_small,price_sql_micro))</f>
        <v/>
      </c>
      <c r="D13" s="16">
        <f>platform_fixed_fees</f>
        <v/>
      </c>
      <c r="E13" s="16">
        <f>MAX(0,AC13-free_vcpu)*price_vcpu+MAX(0,AC13*memory_gib-free_gib)*price_gib+MAX(0,(A13*cbo_http_requests+B13*funder_http_requests+A13*sms_in_segments_per_cbo)-free_requests)/1000000*price_million_requests+min_instances*price_warm_instance</f>
        <v/>
      </c>
      <c r="F13" s="16">
        <f>MAX(0,A13*storage_mb_per_cbo/1024-free_storage_gb)*price_storage_gb</f>
        <v/>
      </c>
      <c r="G13" s="16">
        <f>MAX(0,B13*egress_mb_per_funder/1024-free_egress_gb)*price_egress_gb</f>
        <v/>
      </c>
      <c r="H13" s="16">
        <f>MAX(0,A13*firestore_writes_per_cbo-free_fs_writes)/100000*price_fs_write+MAX(0,A13*firestore_reads_per_cbo-free_fs_reads)/100000*price_fs_read</f>
        <v/>
      </c>
      <c r="I13" s="16">
        <f>A13*sms_out_cost_per_cbo</f>
        <v/>
      </c>
      <c r="J13" s="16">
        <f>A13*sms_in_cost_per_cbo</f>
        <v/>
      </c>
      <c r="K13" s="16">
        <f>A13*azure_cost_per_cbo</f>
        <v/>
      </c>
      <c r="L13" s="16">
        <f>A13*gemini_doc_cost_per_cbo</f>
        <v/>
      </c>
      <c r="M13" s="16">
        <f>A13*gemini_research_cost_per_cbo</f>
        <v/>
      </c>
      <c r="N13" s="16">
        <f>B13*gemini_search_cost_per_funder</f>
        <v/>
      </c>
      <c r="O13" s="16">
        <f>B13*gemini_question_cost_per_funder</f>
        <v/>
      </c>
      <c r="P13" s="16">
        <f>A13*gemini_sms_cost_per_cbo</f>
        <v/>
      </c>
      <c r="Q13" s="16">
        <f>B13*openai_cost_per_funder</f>
        <v/>
      </c>
      <c r="R13" s="16">
        <f>A13*claude_cost_per_cbo</f>
        <v/>
      </c>
      <c r="S13" s="16">
        <f>MAX(0,AB13-free_search)/1000*price_search_1k</f>
        <v/>
      </c>
      <c r="T13" s="16">
        <f>MAX(0,AA13-free_maps)/1000*price_map_1k</f>
        <v/>
      </c>
      <c r="U13" s="16">
        <f>MAX(0,A13*geocode_updates_per_cbo-free_geocode)/1000*price_geocode_1k</f>
        <v/>
      </c>
      <c r="V13" s="51">
        <f>SUM(C13:U13)</f>
        <v/>
      </c>
      <c r="W13" s="15">
        <f>V13*12</f>
        <v/>
      </c>
      <c r="X13" s="16">
        <f>IF(A13=0,NA(),V13/A13)</f>
        <v/>
      </c>
      <c r="Y13" s="17">
        <f>IF(V13=0,0,(I13+J13)/V13)</f>
        <v/>
      </c>
      <c r="Z13" s="17">
        <f>IF(V13=0,0,SUM(C13:H13)/V13)</f>
        <v/>
      </c>
      <c r="AA13" s="13">
        <f>B13*map_loads_per_funder</f>
        <v/>
      </c>
      <c r="AB13" s="13">
        <f>A13*refreshes_per_cbo_month*searches_per_refresh+B13*audits_per_funder*searches_per_audit</f>
        <v/>
      </c>
      <c r="AC13" s="13">
        <f>(A13*cbo_http_requests+B13*funder_http_requests+A13*sms_in_segments_per_cbo)*request_vcpu_seconds+A13*pages_per_cbo_month*page_vcpu_seconds</f>
        <v/>
      </c>
      <c r="AD13" s="13">
        <f>free_vcpu-AC13</f>
        <v/>
      </c>
    </row>
    <row r="14" ht="20" customHeight="1">
      <c r="A14" s="13">
        <f>cbo_tier_2</f>
        <v/>
      </c>
      <c r="B14" s="13">
        <f>funder_tier_3</f>
        <v/>
      </c>
      <c r="C14" s="16">
        <f>IF(OR(A14&gt;=step_std_at,B14&gt;=step_std_at),price_sql_std,IF(OR(A14&gt;=step_small_at,B14&gt;=step_small_at),price_sql_small,price_sql_micro))</f>
        <v/>
      </c>
      <c r="D14" s="16">
        <f>platform_fixed_fees</f>
        <v/>
      </c>
      <c r="E14" s="16">
        <f>MAX(0,AC14-free_vcpu)*price_vcpu+MAX(0,AC14*memory_gib-free_gib)*price_gib+MAX(0,(A14*cbo_http_requests+B14*funder_http_requests+A14*sms_in_segments_per_cbo)-free_requests)/1000000*price_million_requests+min_instances*price_warm_instance</f>
        <v/>
      </c>
      <c r="F14" s="16">
        <f>MAX(0,A14*storage_mb_per_cbo/1024-free_storage_gb)*price_storage_gb</f>
        <v/>
      </c>
      <c r="G14" s="16">
        <f>MAX(0,B14*egress_mb_per_funder/1024-free_egress_gb)*price_egress_gb</f>
        <v/>
      </c>
      <c r="H14" s="16">
        <f>MAX(0,A14*firestore_writes_per_cbo-free_fs_writes)/100000*price_fs_write+MAX(0,A14*firestore_reads_per_cbo-free_fs_reads)/100000*price_fs_read</f>
        <v/>
      </c>
      <c r="I14" s="16">
        <f>A14*sms_out_cost_per_cbo</f>
        <v/>
      </c>
      <c r="J14" s="16">
        <f>A14*sms_in_cost_per_cbo</f>
        <v/>
      </c>
      <c r="K14" s="16">
        <f>A14*azure_cost_per_cbo</f>
        <v/>
      </c>
      <c r="L14" s="16">
        <f>A14*gemini_doc_cost_per_cbo</f>
        <v/>
      </c>
      <c r="M14" s="16">
        <f>A14*gemini_research_cost_per_cbo</f>
        <v/>
      </c>
      <c r="N14" s="16">
        <f>B14*gemini_search_cost_per_funder</f>
        <v/>
      </c>
      <c r="O14" s="16">
        <f>B14*gemini_question_cost_per_funder</f>
        <v/>
      </c>
      <c r="P14" s="16">
        <f>A14*gemini_sms_cost_per_cbo</f>
        <v/>
      </c>
      <c r="Q14" s="16">
        <f>B14*openai_cost_per_funder</f>
        <v/>
      </c>
      <c r="R14" s="16">
        <f>A14*claude_cost_per_cbo</f>
        <v/>
      </c>
      <c r="S14" s="16">
        <f>MAX(0,AB14-free_search)/1000*price_search_1k</f>
        <v/>
      </c>
      <c r="T14" s="16">
        <f>MAX(0,AA14-free_maps)/1000*price_map_1k</f>
        <v/>
      </c>
      <c r="U14" s="16">
        <f>MAX(0,A14*geocode_updates_per_cbo-free_geocode)/1000*price_geocode_1k</f>
        <v/>
      </c>
      <c r="V14" s="51">
        <f>SUM(C14:U14)</f>
        <v/>
      </c>
      <c r="W14" s="15">
        <f>V14*12</f>
        <v/>
      </c>
      <c r="X14" s="16">
        <f>IF(A14=0,NA(),V14/A14)</f>
        <v/>
      </c>
      <c r="Y14" s="17">
        <f>IF(V14=0,0,(I14+J14)/V14)</f>
        <v/>
      </c>
      <c r="Z14" s="17">
        <f>IF(V14=0,0,SUM(C14:H14)/V14)</f>
        <v/>
      </c>
      <c r="AA14" s="13">
        <f>B14*map_loads_per_funder</f>
        <v/>
      </c>
      <c r="AB14" s="13">
        <f>A14*refreshes_per_cbo_month*searches_per_refresh+B14*audits_per_funder*searches_per_audit</f>
        <v/>
      </c>
      <c r="AC14" s="13">
        <f>(A14*cbo_http_requests+B14*funder_http_requests+A14*sms_in_segments_per_cbo)*request_vcpu_seconds+A14*pages_per_cbo_month*page_vcpu_seconds</f>
        <v/>
      </c>
      <c r="AD14" s="13">
        <f>free_vcpu-AC14</f>
        <v/>
      </c>
    </row>
    <row r="15" ht="20" customHeight="1">
      <c r="A15" s="13">
        <f>cbo_tier_2</f>
        <v/>
      </c>
      <c r="B15" s="13">
        <f>funder_tier_4</f>
        <v/>
      </c>
      <c r="C15" s="16">
        <f>IF(OR(A15&gt;=step_std_at,B15&gt;=step_std_at),price_sql_std,IF(OR(A15&gt;=step_small_at,B15&gt;=step_small_at),price_sql_small,price_sql_micro))</f>
        <v/>
      </c>
      <c r="D15" s="16">
        <f>platform_fixed_fees</f>
        <v/>
      </c>
      <c r="E15" s="16">
        <f>MAX(0,AC15-free_vcpu)*price_vcpu+MAX(0,AC15*memory_gib-free_gib)*price_gib+MAX(0,(A15*cbo_http_requests+B15*funder_http_requests+A15*sms_in_segments_per_cbo)-free_requests)/1000000*price_million_requests+min_instances*price_warm_instance</f>
        <v/>
      </c>
      <c r="F15" s="16">
        <f>MAX(0,A15*storage_mb_per_cbo/1024-free_storage_gb)*price_storage_gb</f>
        <v/>
      </c>
      <c r="G15" s="16">
        <f>MAX(0,B15*egress_mb_per_funder/1024-free_egress_gb)*price_egress_gb</f>
        <v/>
      </c>
      <c r="H15" s="16">
        <f>MAX(0,A15*firestore_writes_per_cbo-free_fs_writes)/100000*price_fs_write+MAX(0,A15*firestore_reads_per_cbo-free_fs_reads)/100000*price_fs_read</f>
        <v/>
      </c>
      <c r="I15" s="16">
        <f>A15*sms_out_cost_per_cbo</f>
        <v/>
      </c>
      <c r="J15" s="16">
        <f>A15*sms_in_cost_per_cbo</f>
        <v/>
      </c>
      <c r="K15" s="16">
        <f>A15*azure_cost_per_cbo</f>
        <v/>
      </c>
      <c r="L15" s="16">
        <f>A15*gemini_doc_cost_per_cbo</f>
        <v/>
      </c>
      <c r="M15" s="16">
        <f>A15*gemini_research_cost_per_cbo</f>
        <v/>
      </c>
      <c r="N15" s="16">
        <f>B15*gemini_search_cost_per_funder</f>
        <v/>
      </c>
      <c r="O15" s="16">
        <f>B15*gemini_question_cost_per_funder</f>
        <v/>
      </c>
      <c r="P15" s="16">
        <f>A15*gemini_sms_cost_per_cbo</f>
        <v/>
      </c>
      <c r="Q15" s="16">
        <f>B15*openai_cost_per_funder</f>
        <v/>
      </c>
      <c r="R15" s="16">
        <f>A15*claude_cost_per_cbo</f>
        <v/>
      </c>
      <c r="S15" s="16">
        <f>MAX(0,AB15-free_search)/1000*price_search_1k</f>
        <v/>
      </c>
      <c r="T15" s="16">
        <f>MAX(0,AA15-free_maps)/1000*price_map_1k</f>
        <v/>
      </c>
      <c r="U15" s="16">
        <f>MAX(0,A15*geocode_updates_per_cbo-free_geocode)/1000*price_geocode_1k</f>
        <v/>
      </c>
      <c r="V15" s="51">
        <f>SUM(C15:U15)</f>
        <v/>
      </c>
      <c r="W15" s="15">
        <f>V15*12</f>
        <v/>
      </c>
      <c r="X15" s="16">
        <f>IF(A15=0,NA(),V15/A15)</f>
        <v/>
      </c>
      <c r="Y15" s="17">
        <f>IF(V15=0,0,(I15+J15)/V15)</f>
        <v/>
      </c>
      <c r="Z15" s="17">
        <f>IF(V15=0,0,SUM(C15:H15)/V15)</f>
        <v/>
      </c>
      <c r="AA15" s="13">
        <f>B15*map_loads_per_funder</f>
        <v/>
      </c>
      <c r="AB15" s="13">
        <f>A15*refreshes_per_cbo_month*searches_per_refresh+B15*audits_per_funder*searches_per_audit</f>
        <v/>
      </c>
      <c r="AC15" s="13">
        <f>(A15*cbo_http_requests+B15*funder_http_requests+A15*sms_in_segments_per_cbo)*request_vcpu_seconds+A15*pages_per_cbo_month*page_vcpu_seconds</f>
        <v/>
      </c>
      <c r="AD15" s="13">
        <f>free_vcpu-AC15</f>
        <v/>
      </c>
    </row>
    <row r="16" ht="20" customHeight="1">
      <c r="A16" s="13">
        <f>cbo_tier_2</f>
        <v/>
      </c>
      <c r="B16" s="13">
        <f>funder_tier_5</f>
        <v/>
      </c>
      <c r="C16" s="16">
        <f>IF(OR(A16&gt;=step_std_at,B16&gt;=step_std_at),price_sql_std,IF(OR(A16&gt;=step_small_at,B16&gt;=step_small_at),price_sql_small,price_sql_micro))</f>
        <v/>
      </c>
      <c r="D16" s="16">
        <f>platform_fixed_fees</f>
        <v/>
      </c>
      <c r="E16" s="16">
        <f>MAX(0,AC16-free_vcpu)*price_vcpu+MAX(0,AC16*memory_gib-free_gib)*price_gib+MAX(0,(A16*cbo_http_requests+B16*funder_http_requests+A16*sms_in_segments_per_cbo)-free_requests)/1000000*price_million_requests+min_instances*price_warm_instance</f>
        <v/>
      </c>
      <c r="F16" s="16">
        <f>MAX(0,A16*storage_mb_per_cbo/1024-free_storage_gb)*price_storage_gb</f>
        <v/>
      </c>
      <c r="G16" s="16">
        <f>MAX(0,B16*egress_mb_per_funder/1024-free_egress_gb)*price_egress_gb</f>
        <v/>
      </c>
      <c r="H16" s="16">
        <f>MAX(0,A16*firestore_writes_per_cbo-free_fs_writes)/100000*price_fs_write+MAX(0,A16*firestore_reads_per_cbo-free_fs_reads)/100000*price_fs_read</f>
        <v/>
      </c>
      <c r="I16" s="16">
        <f>A16*sms_out_cost_per_cbo</f>
        <v/>
      </c>
      <c r="J16" s="16">
        <f>A16*sms_in_cost_per_cbo</f>
        <v/>
      </c>
      <c r="K16" s="16">
        <f>A16*azure_cost_per_cbo</f>
        <v/>
      </c>
      <c r="L16" s="16">
        <f>A16*gemini_doc_cost_per_cbo</f>
        <v/>
      </c>
      <c r="M16" s="16">
        <f>A16*gemini_research_cost_per_cbo</f>
        <v/>
      </c>
      <c r="N16" s="16">
        <f>B16*gemini_search_cost_per_funder</f>
        <v/>
      </c>
      <c r="O16" s="16">
        <f>B16*gemini_question_cost_per_funder</f>
        <v/>
      </c>
      <c r="P16" s="16">
        <f>A16*gemini_sms_cost_per_cbo</f>
        <v/>
      </c>
      <c r="Q16" s="16">
        <f>B16*openai_cost_per_funder</f>
        <v/>
      </c>
      <c r="R16" s="16">
        <f>A16*claude_cost_per_cbo</f>
        <v/>
      </c>
      <c r="S16" s="16">
        <f>MAX(0,AB16-free_search)/1000*price_search_1k</f>
        <v/>
      </c>
      <c r="T16" s="16">
        <f>MAX(0,AA16-free_maps)/1000*price_map_1k</f>
        <v/>
      </c>
      <c r="U16" s="16">
        <f>MAX(0,A16*geocode_updates_per_cbo-free_geocode)/1000*price_geocode_1k</f>
        <v/>
      </c>
      <c r="V16" s="51">
        <f>SUM(C16:U16)</f>
        <v/>
      </c>
      <c r="W16" s="15">
        <f>V16*12</f>
        <v/>
      </c>
      <c r="X16" s="16">
        <f>IF(A16=0,NA(),V16/A16)</f>
        <v/>
      </c>
      <c r="Y16" s="17">
        <f>IF(V16=0,0,(I16+J16)/V16)</f>
        <v/>
      </c>
      <c r="Z16" s="17">
        <f>IF(V16=0,0,SUM(C16:H16)/V16)</f>
        <v/>
      </c>
      <c r="AA16" s="13">
        <f>B16*map_loads_per_funder</f>
        <v/>
      </c>
      <c r="AB16" s="13">
        <f>A16*refreshes_per_cbo_month*searches_per_refresh+B16*audits_per_funder*searches_per_audit</f>
        <v/>
      </c>
      <c r="AC16" s="13">
        <f>(A16*cbo_http_requests+B16*funder_http_requests+A16*sms_in_segments_per_cbo)*request_vcpu_seconds+A16*pages_per_cbo_month*page_vcpu_seconds</f>
        <v/>
      </c>
      <c r="AD16" s="13">
        <f>free_vcpu-AC16</f>
        <v/>
      </c>
    </row>
    <row r="17" ht="20" customHeight="1">
      <c r="A17" s="13">
        <f>cbo_tier_2</f>
        <v/>
      </c>
      <c r="B17" s="13">
        <f>funder_tier_6</f>
        <v/>
      </c>
      <c r="C17" s="16">
        <f>IF(OR(A17&gt;=step_std_at,B17&gt;=step_std_at),price_sql_std,IF(OR(A17&gt;=step_small_at,B17&gt;=step_small_at),price_sql_small,price_sql_micro))</f>
        <v/>
      </c>
      <c r="D17" s="16">
        <f>platform_fixed_fees</f>
        <v/>
      </c>
      <c r="E17" s="16">
        <f>MAX(0,AC17-free_vcpu)*price_vcpu+MAX(0,AC17*memory_gib-free_gib)*price_gib+MAX(0,(A17*cbo_http_requests+B17*funder_http_requests+A17*sms_in_segments_per_cbo)-free_requests)/1000000*price_million_requests+min_instances*price_warm_instance</f>
        <v/>
      </c>
      <c r="F17" s="16">
        <f>MAX(0,A17*storage_mb_per_cbo/1024-free_storage_gb)*price_storage_gb</f>
        <v/>
      </c>
      <c r="G17" s="16">
        <f>MAX(0,B17*egress_mb_per_funder/1024-free_egress_gb)*price_egress_gb</f>
        <v/>
      </c>
      <c r="H17" s="16">
        <f>MAX(0,A17*firestore_writes_per_cbo-free_fs_writes)/100000*price_fs_write+MAX(0,A17*firestore_reads_per_cbo-free_fs_reads)/100000*price_fs_read</f>
        <v/>
      </c>
      <c r="I17" s="16">
        <f>A17*sms_out_cost_per_cbo</f>
        <v/>
      </c>
      <c r="J17" s="16">
        <f>A17*sms_in_cost_per_cbo</f>
        <v/>
      </c>
      <c r="K17" s="16">
        <f>A17*azure_cost_per_cbo</f>
        <v/>
      </c>
      <c r="L17" s="16">
        <f>A17*gemini_doc_cost_per_cbo</f>
        <v/>
      </c>
      <c r="M17" s="16">
        <f>A17*gemini_research_cost_per_cbo</f>
        <v/>
      </c>
      <c r="N17" s="16">
        <f>B17*gemini_search_cost_per_funder</f>
        <v/>
      </c>
      <c r="O17" s="16">
        <f>B17*gemini_question_cost_per_funder</f>
        <v/>
      </c>
      <c r="P17" s="16">
        <f>A17*gemini_sms_cost_per_cbo</f>
        <v/>
      </c>
      <c r="Q17" s="16">
        <f>B17*openai_cost_per_funder</f>
        <v/>
      </c>
      <c r="R17" s="16">
        <f>A17*claude_cost_per_cbo</f>
        <v/>
      </c>
      <c r="S17" s="16">
        <f>MAX(0,AB17-free_search)/1000*price_search_1k</f>
        <v/>
      </c>
      <c r="T17" s="16">
        <f>MAX(0,AA17-free_maps)/1000*price_map_1k</f>
        <v/>
      </c>
      <c r="U17" s="16">
        <f>MAX(0,A17*geocode_updates_per_cbo-free_geocode)/1000*price_geocode_1k</f>
        <v/>
      </c>
      <c r="V17" s="51">
        <f>SUM(C17:U17)</f>
        <v/>
      </c>
      <c r="W17" s="15">
        <f>V17*12</f>
        <v/>
      </c>
      <c r="X17" s="16">
        <f>IF(A17=0,NA(),V17/A17)</f>
        <v/>
      </c>
      <c r="Y17" s="17">
        <f>IF(V17=0,0,(I17+J17)/V17)</f>
        <v/>
      </c>
      <c r="Z17" s="17">
        <f>IF(V17=0,0,SUM(C17:H17)/V17)</f>
        <v/>
      </c>
      <c r="AA17" s="13">
        <f>B17*map_loads_per_funder</f>
        <v/>
      </c>
      <c r="AB17" s="13">
        <f>A17*refreshes_per_cbo_month*searches_per_refresh+B17*audits_per_funder*searches_per_audit</f>
        <v/>
      </c>
      <c r="AC17" s="13">
        <f>(A17*cbo_http_requests+B17*funder_http_requests+A17*sms_in_segments_per_cbo)*request_vcpu_seconds+A17*pages_per_cbo_month*page_vcpu_seconds</f>
        <v/>
      </c>
      <c r="AD17" s="13">
        <f>free_vcpu-AC17</f>
        <v/>
      </c>
    </row>
    <row r="18" ht="20" customHeight="1">
      <c r="A18" s="8">
        <f>cbo_tier_3</f>
        <v/>
      </c>
      <c r="B18" s="8">
        <f>funder_tier_1</f>
        <v/>
      </c>
      <c r="C18" s="11">
        <f>IF(OR(A18&gt;=step_std_at,B18&gt;=step_std_at),price_sql_std,IF(OR(A18&gt;=step_small_at,B18&gt;=step_small_at),price_sql_small,price_sql_micro))</f>
        <v/>
      </c>
      <c r="D18" s="11">
        <f>platform_fixed_fees</f>
        <v/>
      </c>
      <c r="E18" s="11">
        <f>MAX(0,AC18-free_vcpu)*price_vcpu+MAX(0,AC18*memory_gib-free_gib)*price_gib+MAX(0,(A18*cbo_http_requests+B18*funder_http_requests+A18*sms_in_segments_per_cbo)-free_requests)/1000000*price_million_requests+min_instances*price_warm_instance</f>
        <v/>
      </c>
      <c r="F18" s="11">
        <f>MAX(0,A18*storage_mb_per_cbo/1024-free_storage_gb)*price_storage_gb</f>
        <v/>
      </c>
      <c r="G18" s="11">
        <f>MAX(0,B18*egress_mb_per_funder/1024-free_egress_gb)*price_egress_gb</f>
        <v/>
      </c>
      <c r="H18" s="11">
        <f>MAX(0,A18*firestore_writes_per_cbo-free_fs_writes)/100000*price_fs_write+MAX(0,A18*firestore_reads_per_cbo-free_fs_reads)/100000*price_fs_read</f>
        <v/>
      </c>
      <c r="I18" s="11">
        <f>A18*sms_out_cost_per_cbo</f>
        <v/>
      </c>
      <c r="J18" s="11">
        <f>A18*sms_in_cost_per_cbo</f>
        <v/>
      </c>
      <c r="K18" s="11">
        <f>A18*azure_cost_per_cbo</f>
        <v/>
      </c>
      <c r="L18" s="11">
        <f>A18*gemini_doc_cost_per_cbo</f>
        <v/>
      </c>
      <c r="M18" s="11">
        <f>A18*gemini_research_cost_per_cbo</f>
        <v/>
      </c>
      <c r="N18" s="11">
        <f>B18*gemini_search_cost_per_funder</f>
        <v/>
      </c>
      <c r="O18" s="11">
        <f>B18*gemini_question_cost_per_funder</f>
        <v/>
      </c>
      <c r="P18" s="11">
        <f>A18*gemini_sms_cost_per_cbo</f>
        <v/>
      </c>
      <c r="Q18" s="11">
        <f>B18*openai_cost_per_funder</f>
        <v/>
      </c>
      <c r="R18" s="11">
        <f>A18*claude_cost_per_cbo</f>
        <v/>
      </c>
      <c r="S18" s="11">
        <f>MAX(0,AB18-free_search)/1000*price_search_1k</f>
        <v/>
      </c>
      <c r="T18" s="11">
        <f>MAX(0,AA18-free_maps)/1000*price_map_1k</f>
        <v/>
      </c>
      <c r="U18" s="11">
        <f>MAX(0,A18*geocode_updates_per_cbo-free_geocode)/1000*price_geocode_1k</f>
        <v/>
      </c>
      <c r="V18" s="50">
        <f>SUM(C18:U18)</f>
        <v/>
      </c>
      <c r="W18" s="10">
        <f>V18*12</f>
        <v/>
      </c>
      <c r="X18" s="11">
        <f>IF(A18=0,NA(),V18/A18)</f>
        <v/>
      </c>
      <c r="Y18" s="12">
        <f>IF(V18=0,0,(I18+J18)/V18)</f>
        <v/>
      </c>
      <c r="Z18" s="12">
        <f>IF(V18=0,0,SUM(C18:H18)/V18)</f>
        <v/>
      </c>
      <c r="AA18" s="8">
        <f>B18*map_loads_per_funder</f>
        <v/>
      </c>
      <c r="AB18" s="8">
        <f>A18*refreshes_per_cbo_month*searches_per_refresh+B18*audits_per_funder*searches_per_audit</f>
        <v/>
      </c>
      <c r="AC18" s="8">
        <f>(A18*cbo_http_requests+B18*funder_http_requests+A18*sms_in_segments_per_cbo)*request_vcpu_seconds+A18*pages_per_cbo_month*page_vcpu_seconds</f>
        <v/>
      </c>
      <c r="AD18" s="8">
        <f>free_vcpu-AC18</f>
        <v/>
      </c>
    </row>
    <row r="19" ht="20" customHeight="1">
      <c r="A19" s="8">
        <f>cbo_tier_3</f>
        <v/>
      </c>
      <c r="B19" s="8">
        <f>funder_tier_2</f>
        <v/>
      </c>
      <c r="C19" s="11">
        <f>IF(OR(A19&gt;=step_std_at,B19&gt;=step_std_at),price_sql_std,IF(OR(A19&gt;=step_small_at,B19&gt;=step_small_at),price_sql_small,price_sql_micro))</f>
        <v/>
      </c>
      <c r="D19" s="11">
        <f>platform_fixed_fees</f>
        <v/>
      </c>
      <c r="E19" s="11">
        <f>MAX(0,AC19-free_vcpu)*price_vcpu+MAX(0,AC19*memory_gib-free_gib)*price_gib+MAX(0,(A19*cbo_http_requests+B19*funder_http_requests+A19*sms_in_segments_per_cbo)-free_requests)/1000000*price_million_requests+min_instances*price_warm_instance</f>
        <v/>
      </c>
      <c r="F19" s="11">
        <f>MAX(0,A19*storage_mb_per_cbo/1024-free_storage_gb)*price_storage_gb</f>
        <v/>
      </c>
      <c r="G19" s="11">
        <f>MAX(0,B19*egress_mb_per_funder/1024-free_egress_gb)*price_egress_gb</f>
        <v/>
      </c>
      <c r="H19" s="11">
        <f>MAX(0,A19*firestore_writes_per_cbo-free_fs_writes)/100000*price_fs_write+MAX(0,A19*firestore_reads_per_cbo-free_fs_reads)/100000*price_fs_read</f>
        <v/>
      </c>
      <c r="I19" s="11">
        <f>A19*sms_out_cost_per_cbo</f>
        <v/>
      </c>
      <c r="J19" s="11">
        <f>A19*sms_in_cost_per_cbo</f>
        <v/>
      </c>
      <c r="K19" s="11">
        <f>A19*azure_cost_per_cbo</f>
        <v/>
      </c>
      <c r="L19" s="11">
        <f>A19*gemini_doc_cost_per_cbo</f>
        <v/>
      </c>
      <c r="M19" s="11">
        <f>A19*gemini_research_cost_per_cbo</f>
        <v/>
      </c>
      <c r="N19" s="11">
        <f>B19*gemini_search_cost_per_funder</f>
        <v/>
      </c>
      <c r="O19" s="11">
        <f>B19*gemini_question_cost_per_funder</f>
        <v/>
      </c>
      <c r="P19" s="11">
        <f>A19*gemini_sms_cost_per_cbo</f>
        <v/>
      </c>
      <c r="Q19" s="11">
        <f>B19*openai_cost_per_funder</f>
        <v/>
      </c>
      <c r="R19" s="11">
        <f>A19*claude_cost_per_cbo</f>
        <v/>
      </c>
      <c r="S19" s="11">
        <f>MAX(0,AB19-free_search)/1000*price_search_1k</f>
        <v/>
      </c>
      <c r="T19" s="11">
        <f>MAX(0,AA19-free_maps)/1000*price_map_1k</f>
        <v/>
      </c>
      <c r="U19" s="11">
        <f>MAX(0,A19*geocode_updates_per_cbo-free_geocode)/1000*price_geocode_1k</f>
        <v/>
      </c>
      <c r="V19" s="50">
        <f>SUM(C19:U19)</f>
        <v/>
      </c>
      <c r="W19" s="10">
        <f>V19*12</f>
        <v/>
      </c>
      <c r="X19" s="11">
        <f>IF(A19=0,NA(),V19/A19)</f>
        <v/>
      </c>
      <c r="Y19" s="12">
        <f>IF(V19=0,0,(I19+J19)/V19)</f>
        <v/>
      </c>
      <c r="Z19" s="12">
        <f>IF(V19=0,0,SUM(C19:H19)/V19)</f>
        <v/>
      </c>
      <c r="AA19" s="8">
        <f>B19*map_loads_per_funder</f>
        <v/>
      </c>
      <c r="AB19" s="8">
        <f>A19*refreshes_per_cbo_month*searches_per_refresh+B19*audits_per_funder*searches_per_audit</f>
        <v/>
      </c>
      <c r="AC19" s="8">
        <f>(A19*cbo_http_requests+B19*funder_http_requests+A19*sms_in_segments_per_cbo)*request_vcpu_seconds+A19*pages_per_cbo_month*page_vcpu_seconds</f>
        <v/>
      </c>
      <c r="AD19" s="8">
        <f>free_vcpu-AC19</f>
        <v/>
      </c>
    </row>
    <row r="20" ht="20" customHeight="1">
      <c r="A20" s="8">
        <f>cbo_tier_3</f>
        <v/>
      </c>
      <c r="B20" s="8">
        <f>funder_tier_3</f>
        <v/>
      </c>
      <c r="C20" s="11">
        <f>IF(OR(A20&gt;=step_std_at,B20&gt;=step_std_at),price_sql_std,IF(OR(A20&gt;=step_small_at,B20&gt;=step_small_at),price_sql_small,price_sql_micro))</f>
        <v/>
      </c>
      <c r="D20" s="11">
        <f>platform_fixed_fees</f>
        <v/>
      </c>
      <c r="E20" s="11">
        <f>MAX(0,AC20-free_vcpu)*price_vcpu+MAX(0,AC20*memory_gib-free_gib)*price_gib+MAX(0,(A20*cbo_http_requests+B20*funder_http_requests+A20*sms_in_segments_per_cbo)-free_requests)/1000000*price_million_requests+min_instances*price_warm_instance</f>
        <v/>
      </c>
      <c r="F20" s="11">
        <f>MAX(0,A20*storage_mb_per_cbo/1024-free_storage_gb)*price_storage_gb</f>
        <v/>
      </c>
      <c r="G20" s="11">
        <f>MAX(0,B20*egress_mb_per_funder/1024-free_egress_gb)*price_egress_gb</f>
        <v/>
      </c>
      <c r="H20" s="11">
        <f>MAX(0,A20*firestore_writes_per_cbo-free_fs_writes)/100000*price_fs_write+MAX(0,A20*firestore_reads_per_cbo-free_fs_reads)/100000*price_fs_read</f>
        <v/>
      </c>
      <c r="I20" s="11">
        <f>A20*sms_out_cost_per_cbo</f>
        <v/>
      </c>
      <c r="J20" s="11">
        <f>A20*sms_in_cost_per_cbo</f>
        <v/>
      </c>
      <c r="K20" s="11">
        <f>A20*azure_cost_per_cbo</f>
        <v/>
      </c>
      <c r="L20" s="11">
        <f>A20*gemini_doc_cost_per_cbo</f>
        <v/>
      </c>
      <c r="M20" s="11">
        <f>A20*gemini_research_cost_per_cbo</f>
        <v/>
      </c>
      <c r="N20" s="11">
        <f>B20*gemini_search_cost_per_funder</f>
        <v/>
      </c>
      <c r="O20" s="11">
        <f>B20*gemini_question_cost_per_funder</f>
        <v/>
      </c>
      <c r="P20" s="11">
        <f>A20*gemini_sms_cost_per_cbo</f>
        <v/>
      </c>
      <c r="Q20" s="11">
        <f>B20*openai_cost_per_funder</f>
        <v/>
      </c>
      <c r="R20" s="11">
        <f>A20*claude_cost_per_cbo</f>
        <v/>
      </c>
      <c r="S20" s="11">
        <f>MAX(0,AB20-free_search)/1000*price_search_1k</f>
        <v/>
      </c>
      <c r="T20" s="11">
        <f>MAX(0,AA20-free_maps)/1000*price_map_1k</f>
        <v/>
      </c>
      <c r="U20" s="11">
        <f>MAX(0,A20*geocode_updates_per_cbo-free_geocode)/1000*price_geocode_1k</f>
        <v/>
      </c>
      <c r="V20" s="50">
        <f>SUM(C20:U20)</f>
        <v/>
      </c>
      <c r="W20" s="10">
        <f>V20*12</f>
        <v/>
      </c>
      <c r="X20" s="11">
        <f>IF(A20=0,NA(),V20/A20)</f>
        <v/>
      </c>
      <c r="Y20" s="12">
        <f>IF(V20=0,0,(I20+J20)/V20)</f>
        <v/>
      </c>
      <c r="Z20" s="12">
        <f>IF(V20=0,0,SUM(C20:H20)/V20)</f>
        <v/>
      </c>
      <c r="AA20" s="8">
        <f>B20*map_loads_per_funder</f>
        <v/>
      </c>
      <c r="AB20" s="8">
        <f>A20*refreshes_per_cbo_month*searches_per_refresh+B20*audits_per_funder*searches_per_audit</f>
        <v/>
      </c>
      <c r="AC20" s="8">
        <f>(A20*cbo_http_requests+B20*funder_http_requests+A20*sms_in_segments_per_cbo)*request_vcpu_seconds+A20*pages_per_cbo_month*page_vcpu_seconds</f>
        <v/>
      </c>
      <c r="AD20" s="8">
        <f>free_vcpu-AC20</f>
        <v/>
      </c>
    </row>
    <row r="21" ht="20" customHeight="1">
      <c r="A21" s="8">
        <f>cbo_tier_3</f>
        <v/>
      </c>
      <c r="B21" s="8">
        <f>funder_tier_4</f>
        <v/>
      </c>
      <c r="C21" s="11">
        <f>IF(OR(A21&gt;=step_std_at,B21&gt;=step_std_at),price_sql_std,IF(OR(A21&gt;=step_small_at,B21&gt;=step_small_at),price_sql_small,price_sql_micro))</f>
        <v/>
      </c>
      <c r="D21" s="11">
        <f>platform_fixed_fees</f>
        <v/>
      </c>
      <c r="E21" s="11">
        <f>MAX(0,AC21-free_vcpu)*price_vcpu+MAX(0,AC21*memory_gib-free_gib)*price_gib+MAX(0,(A21*cbo_http_requests+B21*funder_http_requests+A21*sms_in_segments_per_cbo)-free_requests)/1000000*price_million_requests+min_instances*price_warm_instance</f>
        <v/>
      </c>
      <c r="F21" s="11">
        <f>MAX(0,A21*storage_mb_per_cbo/1024-free_storage_gb)*price_storage_gb</f>
        <v/>
      </c>
      <c r="G21" s="11">
        <f>MAX(0,B21*egress_mb_per_funder/1024-free_egress_gb)*price_egress_gb</f>
        <v/>
      </c>
      <c r="H21" s="11">
        <f>MAX(0,A21*firestore_writes_per_cbo-free_fs_writes)/100000*price_fs_write+MAX(0,A21*firestore_reads_per_cbo-free_fs_reads)/100000*price_fs_read</f>
        <v/>
      </c>
      <c r="I21" s="11">
        <f>A21*sms_out_cost_per_cbo</f>
        <v/>
      </c>
      <c r="J21" s="11">
        <f>A21*sms_in_cost_per_cbo</f>
        <v/>
      </c>
      <c r="K21" s="11">
        <f>A21*azure_cost_per_cbo</f>
        <v/>
      </c>
      <c r="L21" s="11">
        <f>A21*gemini_doc_cost_per_cbo</f>
        <v/>
      </c>
      <c r="M21" s="11">
        <f>A21*gemini_research_cost_per_cbo</f>
        <v/>
      </c>
      <c r="N21" s="11">
        <f>B21*gemini_search_cost_per_funder</f>
        <v/>
      </c>
      <c r="O21" s="11">
        <f>B21*gemini_question_cost_per_funder</f>
        <v/>
      </c>
      <c r="P21" s="11">
        <f>A21*gemini_sms_cost_per_cbo</f>
        <v/>
      </c>
      <c r="Q21" s="11">
        <f>B21*openai_cost_per_funder</f>
        <v/>
      </c>
      <c r="R21" s="11">
        <f>A21*claude_cost_per_cbo</f>
        <v/>
      </c>
      <c r="S21" s="11">
        <f>MAX(0,AB21-free_search)/1000*price_search_1k</f>
        <v/>
      </c>
      <c r="T21" s="11">
        <f>MAX(0,AA21-free_maps)/1000*price_map_1k</f>
        <v/>
      </c>
      <c r="U21" s="11">
        <f>MAX(0,A21*geocode_updates_per_cbo-free_geocode)/1000*price_geocode_1k</f>
        <v/>
      </c>
      <c r="V21" s="50">
        <f>SUM(C21:U21)</f>
        <v/>
      </c>
      <c r="W21" s="10">
        <f>V21*12</f>
        <v/>
      </c>
      <c r="X21" s="11">
        <f>IF(A21=0,NA(),V21/A21)</f>
        <v/>
      </c>
      <c r="Y21" s="12">
        <f>IF(V21=0,0,(I21+J21)/V21)</f>
        <v/>
      </c>
      <c r="Z21" s="12">
        <f>IF(V21=0,0,SUM(C21:H21)/V21)</f>
        <v/>
      </c>
      <c r="AA21" s="8">
        <f>B21*map_loads_per_funder</f>
        <v/>
      </c>
      <c r="AB21" s="8">
        <f>A21*refreshes_per_cbo_month*searches_per_refresh+B21*audits_per_funder*searches_per_audit</f>
        <v/>
      </c>
      <c r="AC21" s="8">
        <f>(A21*cbo_http_requests+B21*funder_http_requests+A21*sms_in_segments_per_cbo)*request_vcpu_seconds+A21*pages_per_cbo_month*page_vcpu_seconds</f>
        <v/>
      </c>
      <c r="AD21" s="8">
        <f>free_vcpu-AC21</f>
        <v/>
      </c>
    </row>
    <row r="22" ht="20" customHeight="1">
      <c r="A22" s="8">
        <f>cbo_tier_3</f>
        <v/>
      </c>
      <c r="B22" s="8">
        <f>funder_tier_5</f>
        <v/>
      </c>
      <c r="C22" s="11">
        <f>IF(OR(A22&gt;=step_std_at,B22&gt;=step_std_at),price_sql_std,IF(OR(A22&gt;=step_small_at,B22&gt;=step_small_at),price_sql_small,price_sql_micro))</f>
        <v/>
      </c>
      <c r="D22" s="11">
        <f>platform_fixed_fees</f>
        <v/>
      </c>
      <c r="E22" s="11">
        <f>MAX(0,AC22-free_vcpu)*price_vcpu+MAX(0,AC22*memory_gib-free_gib)*price_gib+MAX(0,(A22*cbo_http_requests+B22*funder_http_requests+A22*sms_in_segments_per_cbo)-free_requests)/1000000*price_million_requests+min_instances*price_warm_instance</f>
        <v/>
      </c>
      <c r="F22" s="11">
        <f>MAX(0,A22*storage_mb_per_cbo/1024-free_storage_gb)*price_storage_gb</f>
        <v/>
      </c>
      <c r="G22" s="11">
        <f>MAX(0,B22*egress_mb_per_funder/1024-free_egress_gb)*price_egress_gb</f>
        <v/>
      </c>
      <c r="H22" s="11">
        <f>MAX(0,A22*firestore_writes_per_cbo-free_fs_writes)/100000*price_fs_write+MAX(0,A22*firestore_reads_per_cbo-free_fs_reads)/100000*price_fs_read</f>
        <v/>
      </c>
      <c r="I22" s="11">
        <f>A22*sms_out_cost_per_cbo</f>
        <v/>
      </c>
      <c r="J22" s="11">
        <f>A22*sms_in_cost_per_cbo</f>
        <v/>
      </c>
      <c r="K22" s="11">
        <f>A22*azure_cost_per_cbo</f>
        <v/>
      </c>
      <c r="L22" s="11">
        <f>A22*gemini_doc_cost_per_cbo</f>
        <v/>
      </c>
      <c r="M22" s="11">
        <f>A22*gemini_research_cost_per_cbo</f>
        <v/>
      </c>
      <c r="N22" s="11">
        <f>B22*gemini_search_cost_per_funder</f>
        <v/>
      </c>
      <c r="O22" s="11">
        <f>B22*gemini_question_cost_per_funder</f>
        <v/>
      </c>
      <c r="P22" s="11">
        <f>A22*gemini_sms_cost_per_cbo</f>
        <v/>
      </c>
      <c r="Q22" s="11">
        <f>B22*openai_cost_per_funder</f>
        <v/>
      </c>
      <c r="R22" s="11">
        <f>A22*claude_cost_per_cbo</f>
        <v/>
      </c>
      <c r="S22" s="11">
        <f>MAX(0,AB22-free_search)/1000*price_search_1k</f>
        <v/>
      </c>
      <c r="T22" s="11">
        <f>MAX(0,AA22-free_maps)/1000*price_map_1k</f>
        <v/>
      </c>
      <c r="U22" s="11">
        <f>MAX(0,A22*geocode_updates_per_cbo-free_geocode)/1000*price_geocode_1k</f>
        <v/>
      </c>
      <c r="V22" s="50">
        <f>SUM(C22:U22)</f>
        <v/>
      </c>
      <c r="W22" s="10">
        <f>V22*12</f>
        <v/>
      </c>
      <c r="X22" s="11">
        <f>IF(A22=0,NA(),V22/A22)</f>
        <v/>
      </c>
      <c r="Y22" s="12">
        <f>IF(V22=0,0,(I22+J22)/V22)</f>
        <v/>
      </c>
      <c r="Z22" s="12">
        <f>IF(V22=0,0,SUM(C22:H22)/V22)</f>
        <v/>
      </c>
      <c r="AA22" s="8">
        <f>B22*map_loads_per_funder</f>
        <v/>
      </c>
      <c r="AB22" s="8">
        <f>A22*refreshes_per_cbo_month*searches_per_refresh+B22*audits_per_funder*searches_per_audit</f>
        <v/>
      </c>
      <c r="AC22" s="8">
        <f>(A22*cbo_http_requests+B22*funder_http_requests+A22*sms_in_segments_per_cbo)*request_vcpu_seconds+A22*pages_per_cbo_month*page_vcpu_seconds</f>
        <v/>
      </c>
      <c r="AD22" s="8">
        <f>free_vcpu-AC22</f>
        <v/>
      </c>
    </row>
    <row r="23" ht="20" customHeight="1">
      <c r="A23" s="8">
        <f>cbo_tier_3</f>
        <v/>
      </c>
      <c r="B23" s="8">
        <f>funder_tier_6</f>
        <v/>
      </c>
      <c r="C23" s="11">
        <f>IF(OR(A23&gt;=step_std_at,B23&gt;=step_std_at),price_sql_std,IF(OR(A23&gt;=step_small_at,B23&gt;=step_small_at),price_sql_small,price_sql_micro))</f>
        <v/>
      </c>
      <c r="D23" s="11">
        <f>platform_fixed_fees</f>
        <v/>
      </c>
      <c r="E23" s="11">
        <f>MAX(0,AC23-free_vcpu)*price_vcpu+MAX(0,AC23*memory_gib-free_gib)*price_gib+MAX(0,(A23*cbo_http_requests+B23*funder_http_requests+A23*sms_in_segments_per_cbo)-free_requests)/1000000*price_million_requests+min_instances*price_warm_instance</f>
        <v/>
      </c>
      <c r="F23" s="11">
        <f>MAX(0,A23*storage_mb_per_cbo/1024-free_storage_gb)*price_storage_gb</f>
        <v/>
      </c>
      <c r="G23" s="11">
        <f>MAX(0,B23*egress_mb_per_funder/1024-free_egress_gb)*price_egress_gb</f>
        <v/>
      </c>
      <c r="H23" s="11">
        <f>MAX(0,A23*firestore_writes_per_cbo-free_fs_writes)/100000*price_fs_write+MAX(0,A23*firestore_reads_per_cbo-free_fs_reads)/100000*price_fs_read</f>
        <v/>
      </c>
      <c r="I23" s="11">
        <f>A23*sms_out_cost_per_cbo</f>
        <v/>
      </c>
      <c r="J23" s="11">
        <f>A23*sms_in_cost_per_cbo</f>
        <v/>
      </c>
      <c r="K23" s="11">
        <f>A23*azure_cost_per_cbo</f>
        <v/>
      </c>
      <c r="L23" s="11">
        <f>A23*gemini_doc_cost_per_cbo</f>
        <v/>
      </c>
      <c r="M23" s="11">
        <f>A23*gemini_research_cost_per_cbo</f>
        <v/>
      </c>
      <c r="N23" s="11">
        <f>B23*gemini_search_cost_per_funder</f>
        <v/>
      </c>
      <c r="O23" s="11">
        <f>B23*gemini_question_cost_per_funder</f>
        <v/>
      </c>
      <c r="P23" s="11">
        <f>A23*gemini_sms_cost_per_cbo</f>
        <v/>
      </c>
      <c r="Q23" s="11">
        <f>B23*openai_cost_per_funder</f>
        <v/>
      </c>
      <c r="R23" s="11">
        <f>A23*claude_cost_per_cbo</f>
        <v/>
      </c>
      <c r="S23" s="11">
        <f>MAX(0,AB23-free_search)/1000*price_search_1k</f>
        <v/>
      </c>
      <c r="T23" s="11">
        <f>MAX(0,AA23-free_maps)/1000*price_map_1k</f>
        <v/>
      </c>
      <c r="U23" s="11">
        <f>MAX(0,A23*geocode_updates_per_cbo-free_geocode)/1000*price_geocode_1k</f>
        <v/>
      </c>
      <c r="V23" s="50">
        <f>SUM(C23:U23)</f>
        <v/>
      </c>
      <c r="W23" s="10">
        <f>V23*12</f>
        <v/>
      </c>
      <c r="X23" s="11">
        <f>IF(A23=0,NA(),V23/A23)</f>
        <v/>
      </c>
      <c r="Y23" s="12">
        <f>IF(V23=0,0,(I23+J23)/V23)</f>
        <v/>
      </c>
      <c r="Z23" s="12">
        <f>IF(V23=0,0,SUM(C23:H23)/V23)</f>
        <v/>
      </c>
      <c r="AA23" s="8">
        <f>B23*map_loads_per_funder</f>
        <v/>
      </c>
      <c r="AB23" s="8">
        <f>A23*refreshes_per_cbo_month*searches_per_refresh+B23*audits_per_funder*searches_per_audit</f>
        <v/>
      </c>
      <c r="AC23" s="8">
        <f>(A23*cbo_http_requests+B23*funder_http_requests+A23*sms_in_segments_per_cbo)*request_vcpu_seconds+A23*pages_per_cbo_month*page_vcpu_seconds</f>
        <v/>
      </c>
      <c r="AD23" s="8">
        <f>free_vcpu-AC23</f>
        <v/>
      </c>
    </row>
    <row r="24" ht="20" customHeight="1">
      <c r="A24" s="13">
        <f>cbo_tier_4</f>
        <v/>
      </c>
      <c r="B24" s="13">
        <f>funder_tier_1</f>
        <v/>
      </c>
      <c r="C24" s="16">
        <f>IF(OR(A24&gt;=step_std_at,B24&gt;=step_std_at),price_sql_std,IF(OR(A24&gt;=step_small_at,B24&gt;=step_small_at),price_sql_small,price_sql_micro))</f>
        <v/>
      </c>
      <c r="D24" s="16">
        <f>platform_fixed_fees</f>
        <v/>
      </c>
      <c r="E24" s="16">
        <f>MAX(0,AC24-free_vcpu)*price_vcpu+MAX(0,AC24*memory_gib-free_gib)*price_gib+MAX(0,(A24*cbo_http_requests+B24*funder_http_requests+A24*sms_in_segments_per_cbo)-free_requests)/1000000*price_million_requests+min_instances*price_warm_instance</f>
        <v/>
      </c>
      <c r="F24" s="16">
        <f>MAX(0,A24*storage_mb_per_cbo/1024-free_storage_gb)*price_storage_gb</f>
        <v/>
      </c>
      <c r="G24" s="16">
        <f>MAX(0,B24*egress_mb_per_funder/1024-free_egress_gb)*price_egress_gb</f>
        <v/>
      </c>
      <c r="H24" s="16">
        <f>MAX(0,A24*firestore_writes_per_cbo-free_fs_writes)/100000*price_fs_write+MAX(0,A24*firestore_reads_per_cbo-free_fs_reads)/100000*price_fs_read</f>
        <v/>
      </c>
      <c r="I24" s="16">
        <f>A24*sms_out_cost_per_cbo</f>
        <v/>
      </c>
      <c r="J24" s="16">
        <f>A24*sms_in_cost_per_cbo</f>
        <v/>
      </c>
      <c r="K24" s="16">
        <f>A24*azure_cost_per_cbo</f>
        <v/>
      </c>
      <c r="L24" s="16">
        <f>A24*gemini_doc_cost_per_cbo</f>
        <v/>
      </c>
      <c r="M24" s="16">
        <f>A24*gemini_research_cost_per_cbo</f>
        <v/>
      </c>
      <c r="N24" s="16">
        <f>B24*gemini_search_cost_per_funder</f>
        <v/>
      </c>
      <c r="O24" s="16">
        <f>B24*gemini_question_cost_per_funder</f>
        <v/>
      </c>
      <c r="P24" s="16">
        <f>A24*gemini_sms_cost_per_cbo</f>
        <v/>
      </c>
      <c r="Q24" s="16">
        <f>B24*openai_cost_per_funder</f>
        <v/>
      </c>
      <c r="R24" s="16">
        <f>A24*claude_cost_per_cbo</f>
        <v/>
      </c>
      <c r="S24" s="16">
        <f>MAX(0,AB24-free_search)/1000*price_search_1k</f>
        <v/>
      </c>
      <c r="T24" s="16">
        <f>MAX(0,AA24-free_maps)/1000*price_map_1k</f>
        <v/>
      </c>
      <c r="U24" s="16">
        <f>MAX(0,A24*geocode_updates_per_cbo-free_geocode)/1000*price_geocode_1k</f>
        <v/>
      </c>
      <c r="V24" s="51">
        <f>SUM(C24:U24)</f>
        <v/>
      </c>
      <c r="W24" s="15">
        <f>V24*12</f>
        <v/>
      </c>
      <c r="X24" s="16">
        <f>IF(A24=0,NA(),V24/A24)</f>
        <v/>
      </c>
      <c r="Y24" s="17">
        <f>IF(V24=0,0,(I24+J24)/V24)</f>
        <v/>
      </c>
      <c r="Z24" s="17">
        <f>IF(V24=0,0,SUM(C24:H24)/V24)</f>
        <v/>
      </c>
      <c r="AA24" s="13">
        <f>B24*map_loads_per_funder</f>
        <v/>
      </c>
      <c r="AB24" s="13">
        <f>A24*refreshes_per_cbo_month*searches_per_refresh+B24*audits_per_funder*searches_per_audit</f>
        <v/>
      </c>
      <c r="AC24" s="13">
        <f>(A24*cbo_http_requests+B24*funder_http_requests+A24*sms_in_segments_per_cbo)*request_vcpu_seconds+A24*pages_per_cbo_month*page_vcpu_seconds</f>
        <v/>
      </c>
      <c r="AD24" s="13">
        <f>free_vcpu-AC24</f>
        <v/>
      </c>
    </row>
    <row r="25" ht="20" customHeight="1">
      <c r="A25" s="13">
        <f>cbo_tier_4</f>
        <v/>
      </c>
      <c r="B25" s="13">
        <f>funder_tier_2</f>
        <v/>
      </c>
      <c r="C25" s="16">
        <f>IF(OR(A25&gt;=step_std_at,B25&gt;=step_std_at),price_sql_std,IF(OR(A25&gt;=step_small_at,B25&gt;=step_small_at),price_sql_small,price_sql_micro))</f>
        <v/>
      </c>
      <c r="D25" s="16">
        <f>platform_fixed_fees</f>
        <v/>
      </c>
      <c r="E25" s="16">
        <f>MAX(0,AC25-free_vcpu)*price_vcpu+MAX(0,AC25*memory_gib-free_gib)*price_gib+MAX(0,(A25*cbo_http_requests+B25*funder_http_requests+A25*sms_in_segments_per_cbo)-free_requests)/1000000*price_million_requests+min_instances*price_warm_instance</f>
        <v/>
      </c>
      <c r="F25" s="16">
        <f>MAX(0,A25*storage_mb_per_cbo/1024-free_storage_gb)*price_storage_gb</f>
        <v/>
      </c>
      <c r="G25" s="16">
        <f>MAX(0,B25*egress_mb_per_funder/1024-free_egress_gb)*price_egress_gb</f>
        <v/>
      </c>
      <c r="H25" s="16">
        <f>MAX(0,A25*firestore_writes_per_cbo-free_fs_writes)/100000*price_fs_write+MAX(0,A25*firestore_reads_per_cbo-free_fs_reads)/100000*price_fs_read</f>
        <v/>
      </c>
      <c r="I25" s="16">
        <f>A25*sms_out_cost_per_cbo</f>
        <v/>
      </c>
      <c r="J25" s="16">
        <f>A25*sms_in_cost_per_cbo</f>
        <v/>
      </c>
      <c r="K25" s="16">
        <f>A25*azure_cost_per_cbo</f>
        <v/>
      </c>
      <c r="L25" s="16">
        <f>A25*gemini_doc_cost_per_cbo</f>
        <v/>
      </c>
      <c r="M25" s="16">
        <f>A25*gemini_research_cost_per_cbo</f>
        <v/>
      </c>
      <c r="N25" s="16">
        <f>B25*gemini_search_cost_per_funder</f>
        <v/>
      </c>
      <c r="O25" s="16">
        <f>B25*gemini_question_cost_per_funder</f>
        <v/>
      </c>
      <c r="P25" s="16">
        <f>A25*gemini_sms_cost_per_cbo</f>
        <v/>
      </c>
      <c r="Q25" s="16">
        <f>B25*openai_cost_per_funder</f>
        <v/>
      </c>
      <c r="R25" s="16">
        <f>A25*claude_cost_per_cbo</f>
        <v/>
      </c>
      <c r="S25" s="16">
        <f>MAX(0,AB25-free_search)/1000*price_search_1k</f>
        <v/>
      </c>
      <c r="T25" s="16">
        <f>MAX(0,AA25-free_maps)/1000*price_map_1k</f>
        <v/>
      </c>
      <c r="U25" s="16">
        <f>MAX(0,A25*geocode_updates_per_cbo-free_geocode)/1000*price_geocode_1k</f>
        <v/>
      </c>
      <c r="V25" s="51">
        <f>SUM(C25:U25)</f>
        <v/>
      </c>
      <c r="W25" s="15">
        <f>V25*12</f>
        <v/>
      </c>
      <c r="X25" s="16">
        <f>IF(A25=0,NA(),V25/A25)</f>
        <v/>
      </c>
      <c r="Y25" s="17">
        <f>IF(V25=0,0,(I25+J25)/V25)</f>
        <v/>
      </c>
      <c r="Z25" s="17">
        <f>IF(V25=0,0,SUM(C25:H25)/V25)</f>
        <v/>
      </c>
      <c r="AA25" s="13">
        <f>B25*map_loads_per_funder</f>
        <v/>
      </c>
      <c r="AB25" s="13">
        <f>A25*refreshes_per_cbo_month*searches_per_refresh+B25*audits_per_funder*searches_per_audit</f>
        <v/>
      </c>
      <c r="AC25" s="13">
        <f>(A25*cbo_http_requests+B25*funder_http_requests+A25*sms_in_segments_per_cbo)*request_vcpu_seconds+A25*pages_per_cbo_month*page_vcpu_seconds</f>
        <v/>
      </c>
      <c r="AD25" s="13">
        <f>free_vcpu-AC25</f>
        <v/>
      </c>
    </row>
    <row r="26" ht="20" customHeight="1">
      <c r="A26" s="13">
        <f>cbo_tier_4</f>
        <v/>
      </c>
      <c r="B26" s="13">
        <f>funder_tier_3</f>
        <v/>
      </c>
      <c r="C26" s="16">
        <f>IF(OR(A26&gt;=step_std_at,B26&gt;=step_std_at),price_sql_std,IF(OR(A26&gt;=step_small_at,B26&gt;=step_small_at),price_sql_small,price_sql_micro))</f>
        <v/>
      </c>
      <c r="D26" s="16">
        <f>platform_fixed_fees</f>
        <v/>
      </c>
      <c r="E26" s="16">
        <f>MAX(0,AC26-free_vcpu)*price_vcpu+MAX(0,AC26*memory_gib-free_gib)*price_gib+MAX(0,(A26*cbo_http_requests+B26*funder_http_requests+A26*sms_in_segments_per_cbo)-free_requests)/1000000*price_million_requests+min_instances*price_warm_instance</f>
        <v/>
      </c>
      <c r="F26" s="16">
        <f>MAX(0,A26*storage_mb_per_cbo/1024-free_storage_gb)*price_storage_gb</f>
        <v/>
      </c>
      <c r="G26" s="16">
        <f>MAX(0,B26*egress_mb_per_funder/1024-free_egress_gb)*price_egress_gb</f>
        <v/>
      </c>
      <c r="H26" s="16">
        <f>MAX(0,A26*firestore_writes_per_cbo-free_fs_writes)/100000*price_fs_write+MAX(0,A26*firestore_reads_per_cbo-free_fs_reads)/100000*price_fs_read</f>
        <v/>
      </c>
      <c r="I26" s="16">
        <f>A26*sms_out_cost_per_cbo</f>
        <v/>
      </c>
      <c r="J26" s="16">
        <f>A26*sms_in_cost_per_cbo</f>
        <v/>
      </c>
      <c r="K26" s="16">
        <f>A26*azure_cost_per_cbo</f>
        <v/>
      </c>
      <c r="L26" s="16">
        <f>A26*gemini_doc_cost_per_cbo</f>
        <v/>
      </c>
      <c r="M26" s="16">
        <f>A26*gemini_research_cost_per_cbo</f>
        <v/>
      </c>
      <c r="N26" s="16">
        <f>B26*gemini_search_cost_per_funder</f>
        <v/>
      </c>
      <c r="O26" s="16">
        <f>B26*gemini_question_cost_per_funder</f>
        <v/>
      </c>
      <c r="P26" s="16">
        <f>A26*gemini_sms_cost_per_cbo</f>
        <v/>
      </c>
      <c r="Q26" s="16">
        <f>B26*openai_cost_per_funder</f>
        <v/>
      </c>
      <c r="R26" s="16">
        <f>A26*claude_cost_per_cbo</f>
        <v/>
      </c>
      <c r="S26" s="16">
        <f>MAX(0,AB26-free_search)/1000*price_search_1k</f>
        <v/>
      </c>
      <c r="T26" s="16">
        <f>MAX(0,AA26-free_maps)/1000*price_map_1k</f>
        <v/>
      </c>
      <c r="U26" s="16">
        <f>MAX(0,A26*geocode_updates_per_cbo-free_geocode)/1000*price_geocode_1k</f>
        <v/>
      </c>
      <c r="V26" s="51">
        <f>SUM(C26:U26)</f>
        <v/>
      </c>
      <c r="W26" s="15">
        <f>V26*12</f>
        <v/>
      </c>
      <c r="X26" s="16">
        <f>IF(A26=0,NA(),V26/A26)</f>
        <v/>
      </c>
      <c r="Y26" s="17">
        <f>IF(V26=0,0,(I26+J26)/V26)</f>
        <v/>
      </c>
      <c r="Z26" s="17">
        <f>IF(V26=0,0,SUM(C26:H26)/V26)</f>
        <v/>
      </c>
      <c r="AA26" s="13">
        <f>B26*map_loads_per_funder</f>
        <v/>
      </c>
      <c r="AB26" s="13">
        <f>A26*refreshes_per_cbo_month*searches_per_refresh+B26*audits_per_funder*searches_per_audit</f>
        <v/>
      </c>
      <c r="AC26" s="13">
        <f>(A26*cbo_http_requests+B26*funder_http_requests+A26*sms_in_segments_per_cbo)*request_vcpu_seconds+A26*pages_per_cbo_month*page_vcpu_seconds</f>
        <v/>
      </c>
      <c r="AD26" s="13">
        <f>free_vcpu-AC26</f>
        <v/>
      </c>
    </row>
    <row r="27" ht="20" customHeight="1">
      <c r="A27" s="13">
        <f>cbo_tier_4</f>
        <v/>
      </c>
      <c r="B27" s="13">
        <f>funder_tier_4</f>
        <v/>
      </c>
      <c r="C27" s="16">
        <f>IF(OR(A27&gt;=step_std_at,B27&gt;=step_std_at),price_sql_std,IF(OR(A27&gt;=step_small_at,B27&gt;=step_small_at),price_sql_small,price_sql_micro))</f>
        <v/>
      </c>
      <c r="D27" s="16">
        <f>platform_fixed_fees</f>
        <v/>
      </c>
      <c r="E27" s="16">
        <f>MAX(0,AC27-free_vcpu)*price_vcpu+MAX(0,AC27*memory_gib-free_gib)*price_gib+MAX(0,(A27*cbo_http_requests+B27*funder_http_requests+A27*sms_in_segments_per_cbo)-free_requests)/1000000*price_million_requests+min_instances*price_warm_instance</f>
        <v/>
      </c>
      <c r="F27" s="16">
        <f>MAX(0,A27*storage_mb_per_cbo/1024-free_storage_gb)*price_storage_gb</f>
        <v/>
      </c>
      <c r="G27" s="16">
        <f>MAX(0,B27*egress_mb_per_funder/1024-free_egress_gb)*price_egress_gb</f>
        <v/>
      </c>
      <c r="H27" s="16">
        <f>MAX(0,A27*firestore_writes_per_cbo-free_fs_writes)/100000*price_fs_write+MAX(0,A27*firestore_reads_per_cbo-free_fs_reads)/100000*price_fs_read</f>
        <v/>
      </c>
      <c r="I27" s="16">
        <f>A27*sms_out_cost_per_cbo</f>
        <v/>
      </c>
      <c r="J27" s="16">
        <f>A27*sms_in_cost_per_cbo</f>
        <v/>
      </c>
      <c r="K27" s="16">
        <f>A27*azure_cost_per_cbo</f>
        <v/>
      </c>
      <c r="L27" s="16">
        <f>A27*gemini_doc_cost_per_cbo</f>
        <v/>
      </c>
      <c r="M27" s="16">
        <f>A27*gemini_research_cost_per_cbo</f>
        <v/>
      </c>
      <c r="N27" s="16">
        <f>B27*gemini_search_cost_per_funder</f>
        <v/>
      </c>
      <c r="O27" s="16">
        <f>B27*gemini_question_cost_per_funder</f>
        <v/>
      </c>
      <c r="P27" s="16">
        <f>A27*gemini_sms_cost_per_cbo</f>
        <v/>
      </c>
      <c r="Q27" s="16">
        <f>B27*openai_cost_per_funder</f>
        <v/>
      </c>
      <c r="R27" s="16">
        <f>A27*claude_cost_per_cbo</f>
        <v/>
      </c>
      <c r="S27" s="16">
        <f>MAX(0,AB27-free_search)/1000*price_search_1k</f>
        <v/>
      </c>
      <c r="T27" s="16">
        <f>MAX(0,AA27-free_maps)/1000*price_map_1k</f>
        <v/>
      </c>
      <c r="U27" s="16">
        <f>MAX(0,A27*geocode_updates_per_cbo-free_geocode)/1000*price_geocode_1k</f>
        <v/>
      </c>
      <c r="V27" s="51">
        <f>SUM(C27:U27)</f>
        <v/>
      </c>
      <c r="W27" s="15">
        <f>V27*12</f>
        <v/>
      </c>
      <c r="X27" s="16">
        <f>IF(A27=0,NA(),V27/A27)</f>
        <v/>
      </c>
      <c r="Y27" s="17">
        <f>IF(V27=0,0,(I27+J27)/V27)</f>
        <v/>
      </c>
      <c r="Z27" s="17">
        <f>IF(V27=0,0,SUM(C27:H27)/V27)</f>
        <v/>
      </c>
      <c r="AA27" s="13">
        <f>B27*map_loads_per_funder</f>
        <v/>
      </c>
      <c r="AB27" s="13">
        <f>A27*refreshes_per_cbo_month*searches_per_refresh+B27*audits_per_funder*searches_per_audit</f>
        <v/>
      </c>
      <c r="AC27" s="13">
        <f>(A27*cbo_http_requests+B27*funder_http_requests+A27*sms_in_segments_per_cbo)*request_vcpu_seconds+A27*pages_per_cbo_month*page_vcpu_seconds</f>
        <v/>
      </c>
      <c r="AD27" s="13">
        <f>free_vcpu-AC27</f>
        <v/>
      </c>
    </row>
    <row r="28" ht="20" customHeight="1">
      <c r="A28" s="13">
        <f>cbo_tier_4</f>
        <v/>
      </c>
      <c r="B28" s="13">
        <f>funder_tier_5</f>
        <v/>
      </c>
      <c r="C28" s="16">
        <f>IF(OR(A28&gt;=step_std_at,B28&gt;=step_std_at),price_sql_std,IF(OR(A28&gt;=step_small_at,B28&gt;=step_small_at),price_sql_small,price_sql_micro))</f>
        <v/>
      </c>
      <c r="D28" s="16">
        <f>platform_fixed_fees</f>
        <v/>
      </c>
      <c r="E28" s="16">
        <f>MAX(0,AC28-free_vcpu)*price_vcpu+MAX(0,AC28*memory_gib-free_gib)*price_gib+MAX(0,(A28*cbo_http_requests+B28*funder_http_requests+A28*sms_in_segments_per_cbo)-free_requests)/1000000*price_million_requests+min_instances*price_warm_instance</f>
        <v/>
      </c>
      <c r="F28" s="16">
        <f>MAX(0,A28*storage_mb_per_cbo/1024-free_storage_gb)*price_storage_gb</f>
        <v/>
      </c>
      <c r="G28" s="16">
        <f>MAX(0,B28*egress_mb_per_funder/1024-free_egress_gb)*price_egress_gb</f>
        <v/>
      </c>
      <c r="H28" s="16">
        <f>MAX(0,A28*firestore_writes_per_cbo-free_fs_writes)/100000*price_fs_write+MAX(0,A28*firestore_reads_per_cbo-free_fs_reads)/100000*price_fs_read</f>
        <v/>
      </c>
      <c r="I28" s="16">
        <f>A28*sms_out_cost_per_cbo</f>
        <v/>
      </c>
      <c r="J28" s="16">
        <f>A28*sms_in_cost_per_cbo</f>
        <v/>
      </c>
      <c r="K28" s="16">
        <f>A28*azure_cost_per_cbo</f>
        <v/>
      </c>
      <c r="L28" s="16">
        <f>A28*gemini_doc_cost_per_cbo</f>
        <v/>
      </c>
      <c r="M28" s="16">
        <f>A28*gemini_research_cost_per_cbo</f>
        <v/>
      </c>
      <c r="N28" s="16">
        <f>B28*gemini_search_cost_per_funder</f>
        <v/>
      </c>
      <c r="O28" s="16">
        <f>B28*gemini_question_cost_per_funder</f>
        <v/>
      </c>
      <c r="P28" s="16">
        <f>A28*gemini_sms_cost_per_cbo</f>
        <v/>
      </c>
      <c r="Q28" s="16">
        <f>B28*openai_cost_per_funder</f>
        <v/>
      </c>
      <c r="R28" s="16">
        <f>A28*claude_cost_per_cbo</f>
        <v/>
      </c>
      <c r="S28" s="16">
        <f>MAX(0,AB28-free_search)/1000*price_search_1k</f>
        <v/>
      </c>
      <c r="T28" s="16">
        <f>MAX(0,AA28-free_maps)/1000*price_map_1k</f>
        <v/>
      </c>
      <c r="U28" s="16">
        <f>MAX(0,A28*geocode_updates_per_cbo-free_geocode)/1000*price_geocode_1k</f>
        <v/>
      </c>
      <c r="V28" s="51">
        <f>SUM(C28:U28)</f>
        <v/>
      </c>
      <c r="W28" s="15">
        <f>V28*12</f>
        <v/>
      </c>
      <c r="X28" s="16">
        <f>IF(A28=0,NA(),V28/A28)</f>
        <v/>
      </c>
      <c r="Y28" s="17">
        <f>IF(V28=0,0,(I28+J28)/V28)</f>
        <v/>
      </c>
      <c r="Z28" s="17">
        <f>IF(V28=0,0,SUM(C28:H28)/V28)</f>
        <v/>
      </c>
      <c r="AA28" s="13">
        <f>B28*map_loads_per_funder</f>
        <v/>
      </c>
      <c r="AB28" s="13">
        <f>A28*refreshes_per_cbo_month*searches_per_refresh+B28*audits_per_funder*searches_per_audit</f>
        <v/>
      </c>
      <c r="AC28" s="13">
        <f>(A28*cbo_http_requests+B28*funder_http_requests+A28*sms_in_segments_per_cbo)*request_vcpu_seconds+A28*pages_per_cbo_month*page_vcpu_seconds</f>
        <v/>
      </c>
      <c r="AD28" s="13">
        <f>free_vcpu-AC28</f>
        <v/>
      </c>
    </row>
    <row r="29" ht="20" customHeight="1">
      <c r="A29" s="13">
        <f>cbo_tier_4</f>
        <v/>
      </c>
      <c r="B29" s="13">
        <f>funder_tier_6</f>
        <v/>
      </c>
      <c r="C29" s="16">
        <f>IF(OR(A29&gt;=step_std_at,B29&gt;=step_std_at),price_sql_std,IF(OR(A29&gt;=step_small_at,B29&gt;=step_small_at),price_sql_small,price_sql_micro))</f>
        <v/>
      </c>
      <c r="D29" s="16">
        <f>platform_fixed_fees</f>
        <v/>
      </c>
      <c r="E29" s="16">
        <f>MAX(0,AC29-free_vcpu)*price_vcpu+MAX(0,AC29*memory_gib-free_gib)*price_gib+MAX(0,(A29*cbo_http_requests+B29*funder_http_requests+A29*sms_in_segments_per_cbo)-free_requests)/1000000*price_million_requests+min_instances*price_warm_instance</f>
        <v/>
      </c>
      <c r="F29" s="16">
        <f>MAX(0,A29*storage_mb_per_cbo/1024-free_storage_gb)*price_storage_gb</f>
        <v/>
      </c>
      <c r="G29" s="16">
        <f>MAX(0,B29*egress_mb_per_funder/1024-free_egress_gb)*price_egress_gb</f>
        <v/>
      </c>
      <c r="H29" s="16">
        <f>MAX(0,A29*firestore_writes_per_cbo-free_fs_writes)/100000*price_fs_write+MAX(0,A29*firestore_reads_per_cbo-free_fs_reads)/100000*price_fs_read</f>
        <v/>
      </c>
      <c r="I29" s="16">
        <f>A29*sms_out_cost_per_cbo</f>
        <v/>
      </c>
      <c r="J29" s="16">
        <f>A29*sms_in_cost_per_cbo</f>
        <v/>
      </c>
      <c r="K29" s="16">
        <f>A29*azure_cost_per_cbo</f>
        <v/>
      </c>
      <c r="L29" s="16">
        <f>A29*gemini_doc_cost_per_cbo</f>
        <v/>
      </c>
      <c r="M29" s="16">
        <f>A29*gemini_research_cost_per_cbo</f>
        <v/>
      </c>
      <c r="N29" s="16">
        <f>B29*gemini_search_cost_per_funder</f>
        <v/>
      </c>
      <c r="O29" s="16">
        <f>B29*gemini_question_cost_per_funder</f>
        <v/>
      </c>
      <c r="P29" s="16">
        <f>A29*gemini_sms_cost_per_cbo</f>
        <v/>
      </c>
      <c r="Q29" s="16">
        <f>B29*openai_cost_per_funder</f>
        <v/>
      </c>
      <c r="R29" s="16">
        <f>A29*claude_cost_per_cbo</f>
        <v/>
      </c>
      <c r="S29" s="16">
        <f>MAX(0,AB29-free_search)/1000*price_search_1k</f>
        <v/>
      </c>
      <c r="T29" s="16">
        <f>MAX(0,AA29-free_maps)/1000*price_map_1k</f>
        <v/>
      </c>
      <c r="U29" s="16">
        <f>MAX(0,A29*geocode_updates_per_cbo-free_geocode)/1000*price_geocode_1k</f>
        <v/>
      </c>
      <c r="V29" s="51">
        <f>SUM(C29:U29)</f>
        <v/>
      </c>
      <c r="W29" s="15">
        <f>V29*12</f>
        <v/>
      </c>
      <c r="X29" s="16">
        <f>IF(A29=0,NA(),V29/A29)</f>
        <v/>
      </c>
      <c r="Y29" s="17">
        <f>IF(V29=0,0,(I29+J29)/V29)</f>
        <v/>
      </c>
      <c r="Z29" s="17">
        <f>IF(V29=0,0,SUM(C29:H29)/V29)</f>
        <v/>
      </c>
      <c r="AA29" s="13">
        <f>B29*map_loads_per_funder</f>
        <v/>
      </c>
      <c r="AB29" s="13">
        <f>A29*refreshes_per_cbo_month*searches_per_refresh+B29*audits_per_funder*searches_per_audit</f>
        <v/>
      </c>
      <c r="AC29" s="13">
        <f>(A29*cbo_http_requests+B29*funder_http_requests+A29*sms_in_segments_per_cbo)*request_vcpu_seconds+A29*pages_per_cbo_month*page_vcpu_seconds</f>
        <v/>
      </c>
      <c r="AD29" s="13">
        <f>free_vcpu-AC29</f>
        <v/>
      </c>
    </row>
    <row r="30" ht="20" customHeight="1">
      <c r="A30" s="8">
        <f>cbo_tier_5</f>
        <v/>
      </c>
      <c r="B30" s="8">
        <f>funder_tier_1</f>
        <v/>
      </c>
      <c r="C30" s="11">
        <f>IF(OR(A30&gt;=step_std_at,B30&gt;=step_std_at),price_sql_std,IF(OR(A30&gt;=step_small_at,B30&gt;=step_small_at),price_sql_small,price_sql_micro))</f>
        <v/>
      </c>
      <c r="D30" s="11">
        <f>platform_fixed_fees</f>
        <v/>
      </c>
      <c r="E30" s="11">
        <f>MAX(0,AC30-free_vcpu)*price_vcpu+MAX(0,AC30*memory_gib-free_gib)*price_gib+MAX(0,(A30*cbo_http_requests+B30*funder_http_requests+A30*sms_in_segments_per_cbo)-free_requests)/1000000*price_million_requests+min_instances*price_warm_instance</f>
        <v/>
      </c>
      <c r="F30" s="11">
        <f>MAX(0,A30*storage_mb_per_cbo/1024-free_storage_gb)*price_storage_gb</f>
        <v/>
      </c>
      <c r="G30" s="11">
        <f>MAX(0,B30*egress_mb_per_funder/1024-free_egress_gb)*price_egress_gb</f>
        <v/>
      </c>
      <c r="H30" s="11">
        <f>MAX(0,A30*firestore_writes_per_cbo-free_fs_writes)/100000*price_fs_write+MAX(0,A30*firestore_reads_per_cbo-free_fs_reads)/100000*price_fs_read</f>
        <v/>
      </c>
      <c r="I30" s="11">
        <f>A30*sms_out_cost_per_cbo</f>
        <v/>
      </c>
      <c r="J30" s="11">
        <f>A30*sms_in_cost_per_cbo</f>
        <v/>
      </c>
      <c r="K30" s="11">
        <f>A30*azure_cost_per_cbo</f>
        <v/>
      </c>
      <c r="L30" s="11">
        <f>A30*gemini_doc_cost_per_cbo</f>
        <v/>
      </c>
      <c r="M30" s="11">
        <f>A30*gemini_research_cost_per_cbo</f>
        <v/>
      </c>
      <c r="N30" s="11">
        <f>B30*gemini_search_cost_per_funder</f>
        <v/>
      </c>
      <c r="O30" s="11">
        <f>B30*gemini_question_cost_per_funder</f>
        <v/>
      </c>
      <c r="P30" s="11">
        <f>A30*gemini_sms_cost_per_cbo</f>
        <v/>
      </c>
      <c r="Q30" s="11">
        <f>B30*openai_cost_per_funder</f>
        <v/>
      </c>
      <c r="R30" s="11">
        <f>A30*claude_cost_per_cbo</f>
        <v/>
      </c>
      <c r="S30" s="11">
        <f>MAX(0,AB30-free_search)/1000*price_search_1k</f>
        <v/>
      </c>
      <c r="T30" s="11">
        <f>MAX(0,AA30-free_maps)/1000*price_map_1k</f>
        <v/>
      </c>
      <c r="U30" s="11">
        <f>MAX(0,A30*geocode_updates_per_cbo-free_geocode)/1000*price_geocode_1k</f>
        <v/>
      </c>
      <c r="V30" s="50">
        <f>SUM(C30:U30)</f>
        <v/>
      </c>
      <c r="W30" s="10">
        <f>V30*12</f>
        <v/>
      </c>
      <c r="X30" s="11">
        <f>IF(A30=0,NA(),V30/A30)</f>
        <v/>
      </c>
      <c r="Y30" s="12">
        <f>IF(V30=0,0,(I30+J30)/V30)</f>
        <v/>
      </c>
      <c r="Z30" s="12">
        <f>IF(V30=0,0,SUM(C30:H30)/V30)</f>
        <v/>
      </c>
      <c r="AA30" s="8">
        <f>B30*map_loads_per_funder</f>
        <v/>
      </c>
      <c r="AB30" s="8">
        <f>A30*refreshes_per_cbo_month*searches_per_refresh+B30*audits_per_funder*searches_per_audit</f>
        <v/>
      </c>
      <c r="AC30" s="8">
        <f>(A30*cbo_http_requests+B30*funder_http_requests+A30*sms_in_segments_per_cbo)*request_vcpu_seconds+A30*pages_per_cbo_month*page_vcpu_seconds</f>
        <v/>
      </c>
      <c r="AD30" s="8">
        <f>free_vcpu-AC30</f>
        <v/>
      </c>
    </row>
    <row r="31" ht="20" customHeight="1">
      <c r="A31" s="8">
        <f>cbo_tier_5</f>
        <v/>
      </c>
      <c r="B31" s="8">
        <f>funder_tier_2</f>
        <v/>
      </c>
      <c r="C31" s="11">
        <f>IF(OR(A31&gt;=step_std_at,B31&gt;=step_std_at),price_sql_std,IF(OR(A31&gt;=step_small_at,B31&gt;=step_small_at),price_sql_small,price_sql_micro))</f>
        <v/>
      </c>
      <c r="D31" s="11">
        <f>platform_fixed_fees</f>
        <v/>
      </c>
      <c r="E31" s="11">
        <f>MAX(0,AC31-free_vcpu)*price_vcpu+MAX(0,AC31*memory_gib-free_gib)*price_gib+MAX(0,(A31*cbo_http_requests+B31*funder_http_requests+A31*sms_in_segments_per_cbo)-free_requests)/1000000*price_million_requests+min_instances*price_warm_instance</f>
        <v/>
      </c>
      <c r="F31" s="11">
        <f>MAX(0,A31*storage_mb_per_cbo/1024-free_storage_gb)*price_storage_gb</f>
        <v/>
      </c>
      <c r="G31" s="11">
        <f>MAX(0,B31*egress_mb_per_funder/1024-free_egress_gb)*price_egress_gb</f>
        <v/>
      </c>
      <c r="H31" s="11">
        <f>MAX(0,A31*firestore_writes_per_cbo-free_fs_writes)/100000*price_fs_write+MAX(0,A31*firestore_reads_per_cbo-free_fs_reads)/100000*price_fs_read</f>
        <v/>
      </c>
      <c r="I31" s="11">
        <f>A31*sms_out_cost_per_cbo</f>
        <v/>
      </c>
      <c r="J31" s="11">
        <f>A31*sms_in_cost_per_cbo</f>
        <v/>
      </c>
      <c r="K31" s="11">
        <f>A31*azure_cost_per_cbo</f>
        <v/>
      </c>
      <c r="L31" s="11">
        <f>A31*gemini_doc_cost_per_cbo</f>
        <v/>
      </c>
      <c r="M31" s="11">
        <f>A31*gemini_research_cost_per_cbo</f>
        <v/>
      </c>
      <c r="N31" s="11">
        <f>B31*gemini_search_cost_per_funder</f>
        <v/>
      </c>
      <c r="O31" s="11">
        <f>B31*gemini_question_cost_per_funder</f>
        <v/>
      </c>
      <c r="P31" s="11">
        <f>A31*gemini_sms_cost_per_cbo</f>
        <v/>
      </c>
      <c r="Q31" s="11">
        <f>B31*openai_cost_per_funder</f>
        <v/>
      </c>
      <c r="R31" s="11">
        <f>A31*claude_cost_per_cbo</f>
        <v/>
      </c>
      <c r="S31" s="11">
        <f>MAX(0,AB31-free_search)/1000*price_search_1k</f>
        <v/>
      </c>
      <c r="T31" s="11">
        <f>MAX(0,AA31-free_maps)/1000*price_map_1k</f>
        <v/>
      </c>
      <c r="U31" s="11">
        <f>MAX(0,A31*geocode_updates_per_cbo-free_geocode)/1000*price_geocode_1k</f>
        <v/>
      </c>
      <c r="V31" s="50">
        <f>SUM(C31:U31)</f>
        <v/>
      </c>
      <c r="W31" s="10">
        <f>V31*12</f>
        <v/>
      </c>
      <c r="X31" s="11">
        <f>IF(A31=0,NA(),V31/A31)</f>
        <v/>
      </c>
      <c r="Y31" s="12">
        <f>IF(V31=0,0,(I31+J31)/V31)</f>
        <v/>
      </c>
      <c r="Z31" s="12">
        <f>IF(V31=0,0,SUM(C31:H31)/V31)</f>
        <v/>
      </c>
      <c r="AA31" s="8">
        <f>B31*map_loads_per_funder</f>
        <v/>
      </c>
      <c r="AB31" s="8">
        <f>A31*refreshes_per_cbo_month*searches_per_refresh+B31*audits_per_funder*searches_per_audit</f>
        <v/>
      </c>
      <c r="AC31" s="8">
        <f>(A31*cbo_http_requests+B31*funder_http_requests+A31*sms_in_segments_per_cbo)*request_vcpu_seconds+A31*pages_per_cbo_month*page_vcpu_seconds</f>
        <v/>
      </c>
      <c r="AD31" s="8">
        <f>free_vcpu-AC31</f>
        <v/>
      </c>
    </row>
    <row r="32" ht="20" customHeight="1">
      <c r="A32" s="8">
        <f>cbo_tier_5</f>
        <v/>
      </c>
      <c r="B32" s="8">
        <f>funder_tier_3</f>
        <v/>
      </c>
      <c r="C32" s="11">
        <f>IF(OR(A32&gt;=step_std_at,B32&gt;=step_std_at),price_sql_std,IF(OR(A32&gt;=step_small_at,B32&gt;=step_small_at),price_sql_small,price_sql_micro))</f>
        <v/>
      </c>
      <c r="D32" s="11">
        <f>platform_fixed_fees</f>
        <v/>
      </c>
      <c r="E32" s="11">
        <f>MAX(0,AC32-free_vcpu)*price_vcpu+MAX(0,AC32*memory_gib-free_gib)*price_gib+MAX(0,(A32*cbo_http_requests+B32*funder_http_requests+A32*sms_in_segments_per_cbo)-free_requests)/1000000*price_million_requests+min_instances*price_warm_instance</f>
        <v/>
      </c>
      <c r="F32" s="11">
        <f>MAX(0,A32*storage_mb_per_cbo/1024-free_storage_gb)*price_storage_gb</f>
        <v/>
      </c>
      <c r="G32" s="11">
        <f>MAX(0,B32*egress_mb_per_funder/1024-free_egress_gb)*price_egress_gb</f>
        <v/>
      </c>
      <c r="H32" s="11">
        <f>MAX(0,A32*firestore_writes_per_cbo-free_fs_writes)/100000*price_fs_write+MAX(0,A32*firestore_reads_per_cbo-free_fs_reads)/100000*price_fs_read</f>
        <v/>
      </c>
      <c r="I32" s="11">
        <f>A32*sms_out_cost_per_cbo</f>
        <v/>
      </c>
      <c r="J32" s="11">
        <f>A32*sms_in_cost_per_cbo</f>
        <v/>
      </c>
      <c r="K32" s="11">
        <f>A32*azure_cost_per_cbo</f>
        <v/>
      </c>
      <c r="L32" s="11">
        <f>A32*gemini_doc_cost_per_cbo</f>
        <v/>
      </c>
      <c r="M32" s="11">
        <f>A32*gemini_research_cost_per_cbo</f>
        <v/>
      </c>
      <c r="N32" s="11">
        <f>B32*gemini_search_cost_per_funder</f>
        <v/>
      </c>
      <c r="O32" s="11">
        <f>B32*gemini_question_cost_per_funder</f>
        <v/>
      </c>
      <c r="P32" s="11">
        <f>A32*gemini_sms_cost_per_cbo</f>
        <v/>
      </c>
      <c r="Q32" s="11">
        <f>B32*openai_cost_per_funder</f>
        <v/>
      </c>
      <c r="R32" s="11">
        <f>A32*claude_cost_per_cbo</f>
        <v/>
      </c>
      <c r="S32" s="11">
        <f>MAX(0,AB32-free_search)/1000*price_search_1k</f>
        <v/>
      </c>
      <c r="T32" s="11">
        <f>MAX(0,AA32-free_maps)/1000*price_map_1k</f>
        <v/>
      </c>
      <c r="U32" s="11">
        <f>MAX(0,A32*geocode_updates_per_cbo-free_geocode)/1000*price_geocode_1k</f>
        <v/>
      </c>
      <c r="V32" s="50">
        <f>SUM(C32:U32)</f>
        <v/>
      </c>
      <c r="W32" s="10">
        <f>V32*12</f>
        <v/>
      </c>
      <c r="X32" s="11">
        <f>IF(A32=0,NA(),V32/A32)</f>
        <v/>
      </c>
      <c r="Y32" s="12">
        <f>IF(V32=0,0,(I32+J32)/V32)</f>
        <v/>
      </c>
      <c r="Z32" s="12">
        <f>IF(V32=0,0,SUM(C32:H32)/V32)</f>
        <v/>
      </c>
      <c r="AA32" s="8">
        <f>B32*map_loads_per_funder</f>
        <v/>
      </c>
      <c r="AB32" s="8">
        <f>A32*refreshes_per_cbo_month*searches_per_refresh+B32*audits_per_funder*searches_per_audit</f>
        <v/>
      </c>
      <c r="AC32" s="8">
        <f>(A32*cbo_http_requests+B32*funder_http_requests+A32*sms_in_segments_per_cbo)*request_vcpu_seconds+A32*pages_per_cbo_month*page_vcpu_seconds</f>
        <v/>
      </c>
      <c r="AD32" s="8">
        <f>free_vcpu-AC32</f>
        <v/>
      </c>
    </row>
    <row r="33" ht="20" customHeight="1">
      <c r="A33" s="8">
        <f>cbo_tier_5</f>
        <v/>
      </c>
      <c r="B33" s="8">
        <f>funder_tier_4</f>
        <v/>
      </c>
      <c r="C33" s="11">
        <f>IF(OR(A33&gt;=step_std_at,B33&gt;=step_std_at),price_sql_std,IF(OR(A33&gt;=step_small_at,B33&gt;=step_small_at),price_sql_small,price_sql_micro))</f>
        <v/>
      </c>
      <c r="D33" s="11">
        <f>platform_fixed_fees</f>
        <v/>
      </c>
      <c r="E33" s="11">
        <f>MAX(0,AC33-free_vcpu)*price_vcpu+MAX(0,AC33*memory_gib-free_gib)*price_gib+MAX(0,(A33*cbo_http_requests+B33*funder_http_requests+A33*sms_in_segments_per_cbo)-free_requests)/1000000*price_million_requests+min_instances*price_warm_instance</f>
        <v/>
      </c>
      <c r="F33" s="11">
        <f>MAX(0,A33*storage_mb_per_cbo/1024-free_storage_gb)*price_storage_gb</f>
        <v/>
      </c>
      <c r="G33" s="11">
        <f>MAX(0,B33*egress_mb_per_funder/1024-free_egress_gb)*price_egress_gb</f>
        <v/>
      </c>
      <c r="H33" s="11">
        <f>MAX(0,A33*firestore_writes_per_cbo-free_fs_writes)/100000*price_fs_write+MAX(0,A33*firestore_reads_per_cbo-free_fs_reads)/100000*price_fs_read</f>
        <v/>
      </c>
      <c r="I33" s="11">
        <f>A33*sms_out_cost_per_cbo</f>
        <v/>
      </c>
      <c r="J33" s="11">
        <f>A33*sms_in_cost_per_cbo</f>
        <v/>
      </c>
      <c r="K33" s="11">
        <f>A33*azure_cost_per_cbo</f>
        <v/>
      </c>
      <c r="L33" s="11">
        <f>A33*gemini_doc_cost_per_cbo</f>
        <v/>
      </c>
      <c r="M33" s="11">
        <f>A33*gemini_research_cost_per_cbo</f>
        <v/>
      </c>
      <c r="N33" s="11">
        <f>B33*gemini_search_cost_per_funder</f>
        <v/>
      </c>
      <c r="O33" s="11">
        <f>B33*gemini_question_cost_per_funder</f>
        <v/>
      </c>
      <c r="P33" s="11">
        <f>A33*gemini_sms_cost_per_cbo</f>
        <v/>
      </c>
      <c r="Q33" s="11">
        <f>B33*openai_cost_per_funder</f>
        <v/>
      </c>
      <c r="R33" s="11">
        <f>A33*claude_cost_per_cbo</f>
        <v/>
      </c>
      <c r="S33" s="11">
        <f>MAX(0,AB33-free_search)/1000*price_search_1k</f>
        <v/>
      </c>
      <c r="T33" s="11">
        <f>MAX(0,AA33-free_maps)/1000*price_map_1k</f>
        <v/>
      </c>
      <c r="U33" s="11">
        <f>MAX(0,A33*geocode_updates_per_cbo-free_geocode)/1000*price_geocode_1k</f>
        <v/>
      </c>
      <c r="V33" s="50">
        <f>SUM(C33:U33)</f>
        <v/>
      </c>
      <c r="W33" s="10">
        <f>V33*12</f>
        <v/>
      </c>
      <c r="X33" s="11">
        <f>IF(A33=0,NA(),V33/A33)</f>
        <v/>
      </c>
      <c r="Y33" s="12">
        <f>IF(V33=0,0,(I33+J33)/V33)</f>
        <v/>
      </c>
      <c r="Z33" s="12">
        <f>IF(V33=0,0,SUM(C33:H33)/V33)</f>
        <v/>
      </c>
      <c r="AA33" s="8">
        <f>B33*map_loads_per_funder</f>
        <v/>
      </c>
      <c r="AB33" s="8">
        <f>A33*refreshes_per_cbo_month*searches_per_refresh+B33*audits_per_funder*searches_per_audit</f>
        <v/>
      </c>
      <c r="AC33" s="8">
        <f>(A33*cbo_http_requests+B33*funder_http_requests+A33*sms_in_segments_per_cbo)*request_vcpu_seconds+A33*pages_per_cbo_month*page_vcpu_seconds</f>
        <v/>
      </c>
      <c r="AD33" s="8">
        <f>free_vcpu-AC33</f>
        <v/>
      </c>
    </row>
    <row r="34" ht="20" customHeight="1">
      <c r="A34" s="8">
        <f>cbo_tier_5</f>
        <v/>
      </c>
      <c r="B34" s="8">
        <f>funder_tier_5</f>
        <v/>
      </c>
      <c r="C34" s="11">
        <f>IF(OR(A34&gt;=step_std_at,B34&gt;=step_std_at),price_sql_std,IF(OR(A34&gt;=step_small_at,B34&gt;=step_small_at),price_sql_small,price_sql_micro))</f>
        <v/>
      </c>
      <c r="D34" s="11">
        <f>platform_fixed_fees</f>
        <v/>
      </c>
      <c r="E34" s="11">
        <f>MAX(0,AC34-free_vcpu)*price_vcpu+MAX(0,AC34*memory_gib-free_gib)*price_gib+MAX(0,(A34*cbo_http_requests+B34*funder_http_requests+A34*sms_in_segments_per_cbo)-free_requests)/1000000*price_million_requests+min_instances*price_warm_instance</f>
        <v/>
      </c>
      <c r="F34" s="11">
        <f>MAX(0,A34*storage_mb_per_cbo/1024-free_storage_gb)*price_storage_gb</f>
        <v/>
      </c>
      <c r="G34" s="11">
        <f>MAX(0,B34*egress_mb_per_funder/1024-free_egress_gb)*price_egress_gb</f>
        <v/>
      </c>
      <c r="H34" s="11">
        <f>MAX(0,A34*firestore_writes_per_cbo-free_fs_writes)/100000*price_fs_write+MAX(0,A34*firestore_reads_per_cbo-free_fs_reads)/100000*price_fs_read</f>
        <v/>
      </c>
      <c r="I34" s="11">
        <f>A34*sms_out_cost_per_cbo</f>
        <v/>
      </c>
      <c r="J34" s="11">
        <f>A34*sms_in_cost_per_cbo</f>
        <v/>
      </c>
      <c r="K34" s="11">
        <f>A34*azure_cost_per_cbo</f>
        <v/>
      </c>
      <c r="L34" s="11">
        <f>A34*gemini_doc_cost_per_cbo</f>
        <v/>
      </c>
      <c r="M34" s="11">
        <f>A34*gemini_research_cost_per_cbo</f>
        <v/>
      </c>
      <c r="N34" s="11">
        <f>B34*gemini_search_cost_per_funder</f>
        <v/>
      </c>
      <c r="O34" s="11">
        <f>B34*gemini_question_cost_per_funder</f>
        <v/>
      </c>
      <c r="P34" s="11">
        <f>A34*gemini_sms_cost_per_cbo</f>
        <v/>
      </c>
      <c r="Q34" s="11">
        <f>B34*openai_cost_per_funder</f>
        <v/>
      </c>
      <c r="R34" s="11">
        <f>A34*claude_cost_per_cbo</f>
        <v/>
      </c>
      <c r="S34" s="11">
        <f>MAX(0,AB34-free_search)/1000*price_search_1k</f>
        <v/>
      </c>
      <c r="T34" s="11">
        <f>MAX(0,AA34-free_maps)/1000*price_map_1k</f>
        <v/>
      </c>
      <c r="U34" s="11">
        <f>MAX(0,A34*geocode_updates_per_cbo-free_geocode)/1000*price_geocode_1k</f>
        <v/>
      </c>
      <c r="V34" s="50">
        <f>SUM(C34:U34)</f>
        <v/>
      </c>
      <c r="W34" s="10">
        <f>V34*12</f>
        <v/>
      </c>
      <c r="X34" s="11">
        <f>IF(A34=0,NA(),V34/A34)</f>
        <v/>
      </c>
      <c r="Y34" s="12">
        <f>IF(V34=0,0,(I34+J34)/V34)</f>
        <v/>
      </c>
      <c r="Z34" s="12">
        <f>IF(V34=0,0,SUM(C34:H34)/V34)</f>
        <v/>
      </c>
      <c r="AA34" s="8">
        <f>B34*map_loads_per_funder</f>
        <v/>
      </c>
      <c r="AB34" s="8">
        <f>A34*refreshes_per_cbo_month*searches_per_refresh+B34*audits_per_funder*searches_per_audit</f>
        <v/>
      </c>
      <c r="AC34" s="8">
        <f>(A34*cbo_http_requests+B34*funder_http_requests+A34*sms_in_segments_per_cbo)*request_vcpu_seconds+A34*pages_per_cbo_month*page_vcpu_seconds</f>
        <v/>
      </c>
      <c r="AD34" s="8">
        <f>free_vcpu-AC34</f>
        <v/>
      </c>
    </row>
    <row r="35" ht="20" customHeight="1">
      <c r="A35" s="8">
        <f>cbo_tier_5</f>
        <v/>
      </c>
      <c r="B35" s="8">
        <f>funder_tier_6</f>
        <v/>
      </c>
      <c r="C35" s="11">
        <f>IF(OR(A35&gt;=step_std_at,B35&gt;=step_std_at),price_sql_std,IF(OR(A35&gt;=step_small_at,B35&gt;=step_small_at),price_sql_small,price_sql_micro))</f>
        <v/>
      </c>
      <c r="D35" s="11">
        <f>platform_fixed_fees</f>
        <v/>
      </c>
      <c r="E35" s="11">
        <f>MAX(0,AC35-free_vcpu)*price_vcpu+MAX(0,AC35*memory_gib-free_gib)*price_gib+MAX(0,(A35*cbo_http_requests+B35*funder_http_requests+A35*sms_in_segments_per_cbo)-free_requests)/1000000*price_million_requests+min_instances*price_warm_instance</f>
        <v/>
      </c>
      <c r="F35" s="11">
        <f>MAX(0,A35*storage_mb_per_cbo/1024-free_storage_gb)*price_storage_gb</f>
        <v/>
      </c>
      <c r="G35" s="11">
        <f>MAX(0,B35*egress_mb_per_funder/1024-free_egress_gb)*price_egress_gb</f>
        <v/>
      </c>
      <c r="H35" s="11">
        <f>MAX(0,A35*firestore_writes_per_cbo-free_fs_writes)/100000*price_fs_write+MAX(0,A35*firestore_reads_per_cbo-free_fs_reads)/100000*price_fs_read</f>
        <v/>
      </c>
      <c r="I35" s="11">
        <f>A35*sms_out_cost_per_cbo</f>
        <v/>
      </c>
      <c r="J35" s="11">
        <f>A35*sms_in_cost_per_cbo</f>
        <v/>
      </c>
      <c r="K35" s="11">
        <f>A35*azure_cost_per_cbo</f>
        <v/>
      </c>
      <c r="L35" s="11">
        <f>A35*gemini_doc_cost_per_cbo</f>
        <v/>
      </c>
      <c r="M35" s="11">
        <f>A35*gemini_research_cost_per_cbo</f>
        <v/>
      </c>
      <c r="N35" s="11">
        <f>B35*gemini_search_cost_per_funder</f>
        <v/>
      </c>
      <c r="O35" s="11">
        <f>B35*gemini_question_cost_per_funder</f>
        <v/>
      </c>
      <c r="P35" s="11">
        <f>A35*gemini_sms_cost_per_cbo</f>
        <v/>
      </c>
      <c r="Q35" s="11">
        <f>B35*openai_cost_per_funder</f>
        <v/>
      </c>
      <c r="R35" s="11">
        <f>A35*claude_cost_per_cbo</f>
        <v/>
      </c>
      <c r="S35" s="11">
        <f>MAX(0,AB35-free_search)/1000*price_search_1k</f>
        <v/>
      </c>
      <c r="T35" s="11">
        <f>MAX(0,AA35-free_maps)/1000*price_map_1k</f>
        <v/>
      </c>
      <c r="U35" s="11">
        <f>MAX(0,A35*geocode_updates_per_cbo-free_geocode)/1000*price_geocode_1k</f>
        <v/>
      </c>
      <c r="V35" s="50">
        <f>SUM(C35:U35)</f>
        <v/>
      </c>
      <c r="W35" s="10">
        <f>V35*12</f>
        <v/>
      </c>
      <c r="X35" s="11">
        <f>IF(A35=0,NA(),V35/A35)</f>
        <v/>
      </c>
      <c r="Y35" s="12">
        <f>IF(V35=0,0,(I35+J35)/V35)</f>
        <v/>
      </c>
      <c r="Z35" s="12">
        <f>IF(V35=0,0,SUM(C35:H35)/V35)</f>
        <v/>
      </c>
      <c r="AA35" s="8">
        <f>B35*map_loads_per_funder</f>
        <v/>
      </c>
      <c r="AB35" s="8">
        <f>A35*refreshes_per_cbo_month*searches_per_refresh+B35*audits_per_funder*searches_per_audit</f>
        <v/>
      </c>
      <c r="AC35" s="8">
        <f>(A35*cbo_http_requests+B35*funder_http_requests+A35*sms_in_segments_per_cbo)*request_vcpu_seconds+A35*pages_per_cbo_month*page_vcpu_seconds</f>
        <v/>
      </c>
      <c r="AD35" s="8">
        <f>free_vcpu-AC35</f>
        <v/>
      </c>
    </row>
    <row r="36" ht="20" customHeight="1">
      <c r="A36" s="13">
        <f>cbo_tier_6</f>
        <v/>
      </c>
      <c r="B36" s="13">
        <f>funder_tier_1</f>
        <v/>
      </c>
      <c r="C36" s="16">
        <f>IF(OR(A36&gt;=step_std_at,B36&gt;=step_std_at),price_sql_std,IF(OR(A36&gt;=step_small_at,B36&gt;=step_small_at),price_sql_small,price_sql_micro))</f>
        <v/>
      </c>
      <c r="D36" s="16">
        <f>platform_fixed_fees</f>
        <v/>
      </c>
      <c r="E36" s="16">
        <f>MAX(0,AC36-free_vcpu)*price_vcpu+MAX(0,AC36*memory_gib-free_gib)*price_gib+MAX(0,(A36*cbo_http_requests+B36*funder_http_requests+A36*sms_in_segments_per_cbo)-free_requests)/1000000*price_million_requests+min_instances*price_warm_instance</f>
        <v/>
      </c>
      <c r="F36" s="16">
        <f>MAX(0,A36*storage_mb_per_cbo/1024-free_storage_gb)*price_storage_gb</f>
        <v/>
      </c>
      <c r="G36" s="16">
        <f>MAX(0,B36*egress_mb_per_funder/1024-free_egress_gb)*price_egress_gb</f>
        <v/>
      </c>
      <c r="H36" s="16">
        <f>MAX(0,A36*firestore_writes_per_cbo-free_fs_writes)/100000*price_fs_write+MAX(0,A36*firestore_reads_per_cbo-free_fs_reads)/100000*price_fs_read</f>
        <v/>
      </c>
      <c r="I36" s="16">
        <f>A36*sms_out_cost_per_cbo</f>
        <v/>
      </c>
      <c r="J36" s="16">
        <f>A36*sms_in_cost_per_cbo</f>
        <v/>
      </c>
      <c r="K36" s="16">
        <f>A36*azure_cost_per_cbo</f>
        <v/>
      </c>
      <c r="L36" s="16">
        <f>A36*gemini_doc_cost_per_cbo</f>
        <v/>
      </c>
      <c r="M36" s="16">
        <f>A36*gemini_research_cost_per_cbo</f>
        <v/>
      </c>
      <c r="N36" s="16">
        <f>B36*gemini_search_cost_per_funder</f>
        <v/>
      </c>
      <c r="O36" s="16">
        <f>B36*gemini_question_cost_per_funder</f>
        <v/>
      </c>
      <c r="P36" s="16">
        <f>A36*gemini_sms_cost_per_cbo</f>
        <v/>
      </c>
      <c r="Q36" s="16">
        <f>B36*openai_cost_per_funder</f>
        <v/>
      </c>
      <c r="R36" s="16">
        <f>A36*claude_cost_per_cbo</f>
        <v/>
      </c>
      <c r="S36" s="16">
        <f>MAX(0,AB36-free_search)/1000*price_search_1k</f>
        <v/>
      </c>
      <c r="T36" s="16">
        <f>MAX(0,AA36-free_maps)/1000*price_map_1k</f>
        <v/>
      </c>
      <c r="U36" s="16">
        <f>MAX(0,A36*geocode_updates_per_cbo-free_geocode)/1000*price_geocode_1k</f>
        <v/>
      </c>
      <c r="V36" s="51">
        <f>SUM(C36:U36)</f>
        <v/>
      </c>
      <c r="W36" s="15">
        <f>V36*12</f>
        <v/>
      </c>
      <c r="X36" s="16">
        <f>IF(A36=0,NA(),V36/A36)</f>
        <v/>
      </c>
      <c r="Y36" s="17">
        <f>IF(V36=0,0,(I36+J36)/V36)</f>
        <v/>
      </c>
      <c r="Z36" s="17">
        <f>IF(V36=0,0,SUM(C36:H36)/V36)</f>
        <v/>
      </c>
      <c r="AA36" s="13">
        <f>B36*map_loads_per_funder</f>
        <v/>
      </c>
      <c r="AB36" s="13">
        <f>A36*refreshes_per_cbo_month*searches_per_refresh+B36*audits_per_funder*searches_per_audit</f>
        <v/>
      </c>
      <c r="AC36" s="13">
        <f>(A36*cbo_http_requests+B36*funder_http_requests+A36*sms_in_segments_per_cbo)*request_vcpu_seconds+A36*pages_per_cbo_month*page_vcpu_seconds</f>
        <v/>
      </c>
      <c r="AD36" s="13">
        <f>free_vcpu-AC36</f>
        <v/>
      </c>
    </row>
    <row r="37" ht="20" customHeight="1">
      <c r="A37" s="13">
        <f>cbo_tier_6</f>
        <v/>
      </c>
      <c r="B37" s="13">
        <f>funder_tier_2</f>
        <v/>
      </c>
      <c r="C37" s="16">
        <f>IF(OR(A37&gt;=step_std_at,B37&gt;=step_std_at),price_sql_std,IF(OR(A37&gt;=step_small_at,B37&gt;=step_small_at),price_sql_small,price_sql_micro))</f>
        <v/>
      </c>
      <c r="D37" s="16">
        <f>platform_fixed_fees</f>
        <v/>
      </c>
      <c r="E37" s="16">
        <f>MAX(0,AC37-free_vcpu)*price_vcpu+MAX(0,AC37*memory_gib-free_gib)*price_gib+MAX(0,(A37*cbo_http_requests+B37*funder_http_requests+A37*sms_in_segments_per_cbo)-free_requests)/1000000*price_million_requests+min_instances*price_warm_instance</f>
        <v/>
      </c>
      <c r="F37" s="16">
        <f>MAX(0,A37*storage_mb_per_cbo/1024-free_storage_gb)*price_storage_gb</f>
        <v/>
      </c>
      <c r="G37" s="16">
        <f>MAX(0,B37*egress_mb_per_funder/1024-free_egress_gb)*price_egress_gb</f>
        <v/>
      </c>
      <c r="H37" s="16">
        <f>MAX(0,A37*firestore_writes_per_cbo-free_fs_writes)/100000*price_fs_write+MAX(0,A37*firestore_reads_per_cbo-free_fs_reads)/100000*price_fs_read</f>
        <v/>
      </c>
      <c r="I37" s="16">
        <f>A37*sms_out_cost_per_cbo</f>
        <v/>
      </c>
      <c r="J37" s="16">
        <f>A37*sms_in_cost_per_cbo</f>
        <v/>
      </c>
      <c r="K37" s="16">
        <f>A37*azure_cost_per_cbo</f>
        <v/>
      </c>
      <c r="L37" s="16">
        <f>A37*gemini_doc_cost_per_cbo</f>
        <v/>
      </c>
      <c r="M37" s="16">
        <f>A37*gemini_research_cost_per_cbo</f>
        <v/>
      </c>
      <c r="N37" s="16">
        <f>B37*gemini_search_cost_per_funder</f>
        <v/>
      </c>
      <c r="O37" s="16">
        <f>B37*gemini_question_cost_per_funder</f>
        <v/>
      </c>
      <c r="P37" s="16">
        <f>A37*gemini_sms_cost_per_cbo</f>
        <v/>
      </c>
      <c r="Q37" s="16">
        <f>B37*openai_cost_per_funder</f>
        <v/>
      </c>
      <c r="R37" s="16">
        <f>A37*claude_cost_per_cbo</f>
        <v/>
      </c>
      <c r="S37" s="16">
        <f>MAX(0,AB37-free_search)/1000*price_search_1k</f>
        <v/>
      </c>
      <c r="T37" s="16">
        <f>MAX(0,AA37-free_maps)/1000*price_map_1k</f>
        <v/>
      </c>
      <c r="U37" s="16">
        <f>MAX(0,A37*geocode_updates_per_cbo-free_geocode)/1000*price_geocode_1k</f>
        <v/>
      </c>
      <c r="V37" s="51">
        <f>SUM(C37:U37)</f>
        <v/>
      </c>
      <c r="W37" s="15">
        <f>V37*12</f>
        <v/>
      </c>
      <c r="X37" s="16">
        <f>IF(A37=0,NA(),V37/A37)</f>
        <v/>
      </c>
      <c r="Y37" s="17">
        <f>IF(V37=0,0,(I37+J37)/V37)</f>
        <v/>
      </c>
      <c r="Z37" s="17">
        <f>IF(V37=0,0,SUM(C37:H37)/V37)</f>
        <v/>
      </c>
      <c r="AA37" s="13">
        <f>B37*map_loads_per_funder</f>
        <v/>
      </c>
      <c r="AB37" s="13">
        <f>A37*refreshes_per_cbo_month*searches_per_refresh+B37*audits_per_funder*searches_per_audit</f>
        <v/>
      </c>
      <c r="AC37" s="13">
        <f>(A37*cbo_http_requests+B37*funder_http_requests+A37*sms_in_segments_per_cbo)*request_vcpu_seconds+A37*pages_per_cbo_month*page_vcpu_seconds</f>
        <v/>
      </c>
      <c r="AD37" s="13">
        <f>free_vcpu-AC37</f>
        <v/>
      </c>
    </row>
    <row r="38" ht="20" customHeight="1">
      <c r="A38" s="13">
        <f>cbo_tier_6</f>
        <v/>
      </c>
      <c r="B38" s="13">
        <f>funder_tier_3</f>
        <v/>
      </c>
      <c r="C38" s="16">
        <f>IF(OR(A38&gt;=step_std_at,B38&gt;=step_std_at),price_sql_std,IF(OR(A38&gt;=step_small_at,B38&gt;=step_small_at),price_sql_small,price_sql_micro))</f>
        <v/>
      </c>
      <c r="D38" s="16">
        <f>platform_fixed_fees</f>
        <v/>
      </c>
      <c r="E38" s="16">
        <f>MAX(0,AC38-free_vcpu)*price_vcpu+MAX(0,AC38*memory_gib-free_gib)*price_gib+MAX(0,(A38*cbo_http_requests+B38*funder_http_requests+A38*sms_in_segments_per_cbo)-free_requests)/1000000*price_million_requests+min_instances*price_warm_instance</f>
        <v/>
      </c>
      <c r="F38" s="16">
        <f>MAX(0,A38*storage_mb_per_cbo/1024-free_storage_gb)*price_storage_gb</f>
        <v/>
      </c>
      <c r="G38" s="16">
        <f>MAX(0,B38*egress_mb_per_funder/1024-free_egress_gb)*price_egress_gb</f>
        <v/>
      </c>
      <c r="H38" s="16">
        <f>MAX(0,A38*firestore_writes_per_cbo-free_fs_writes)/100000*price_fs_write+MAX(0,A38*firestore_reads_per_cbo-free_fs_reads)/100000*price_fs_read</f>
        <v/>
      </c>
      <c r="I38" s="16">
        <f>A38*sms_out_cost_per_cbo</f>
        <v/>
      </c>
      <c r="J38" s="16">
        <f>A38*sms_in_cost_per_cbo</f>
        <v/>
      </c>
      <c r="K38" s="16">
        <f>A38*azure_cost_per_cbo</f>
        <v/>
      </c>
      <c r="L38" s="16">
        <f>A38*gemini_doc_cost_per_cbo</f>
        <v/>
      </c>
      <c r="M38" s="16">
        <f>A38*gemini_research_cost_per_cbo</f>
        <v/>
      </c>
      <c r="N38" s="16">
        <f>B38*gemini_search_cost_per_funder</f>
        <v/>
      </c>
      <c r="O38" s="16">
        <f>B38*gemini_question_cost_per_funder</f>
        <v/>
      </c>
      <c r="P38" s="16">
        <f>A38*gemini_sms_cost_per_cbo</f>
        <v/>
      </c>
      <c r="Q38" s="16">
        <f>B38*openai_cost_per_funder</f>
        <v/>
      </c>
      <c r="R38" s="16">
        <f>A38*claude_cost_per_cbo</f>
        <v/>
      </c>
      <c r="S38" s="16">
        <f>MAX(0,AB38-free_search)/1000*price_search_1k</f>
        <v/>
      </c>
      <c r="T38" s="16">
        <f>MAX(0,AA38-free_maps)/1000*price_map_1k</f>
        <v/>
      </c>
      <c r="U38" s="16">
        <f>MAX(0,A38*geocode_updates_per_cbo-free_geocode)/1000*price_geocode_1k</f>
        <v/>
      </c>
      <c r="V38" s="51">
        <f>SUM(C38:U38)</f>
        <v/>
      </c>
      <c r="W38" s="15">
        <f>V38*12</f>
        <v/>
      </c>
      <c r="X38" s="16">
        <f>IF(A38=0,NA(),V38/A38)</f>
        <v/>
      </c>
      <c r="Y38" s="17">
        <f>IF(V38=0,0,(I38+J38)/V38)</f>
        <v/>
      </c>
      <c r="Z38" s="17">
        <f>IF(V38=0,0,SUM(C38:H38)/V38)</f>
        <v/>
      </c>
      <c r="AA38" s="13">
        <f>B38*map_loads_per_funder</f>
        <v/>
      </c>
      <c r="AB38" s="13">
        <f>A38*refreshes_per_cbo_month*searches_per_refresh+B38*audits_per_funder*searches_per_audit</f>
        <v/>
      </c>
      <c r="AC38" s="13">
        <f>(A38*cbo_http_requests+B38*funder_http_requests+A38*sms_in_segments_per_cbo)*request_vcpu_seconds+A38*pages_per_cbo_month*page_vcpu_seconds</f>
        <v/>
      </c>
      <c r="AD38" s="13">
        <f>free_vcpu-AC38</f>
        <v/>
      </c>
    </row>
    <row r="39" ht="20" customHeight="1">
      <c r="A39" s="13">
        <f>cbo_tier_6</f>
        <v/>
      </c>
      <c r="B39" s="13">
        <f>funder_tier_4</f>
        <v/>
      </c>
      <c r="C39" s="16">
        <f>IF(OR(A39&gt;=step_std_at,B39&gt;=step_std_at),price_sql_std,IF(OR(A39&gt;=step_small_at,B39&gt;=step_small_at),price_sql_small,price_sql_micro))</f>
        <v/>
      </c>
      <c r="D39" s="16">
        <f>platform_fixed_fees</f>
        <v/>
      </c>
      <c r="E39" s="16">
        <f>MAX(0,AC39-free_vcpu)*price_vcpu+MAX(0,AC39*memory_gib-free_gib)*price_gib+MAX(0,(A39*cbo_http_requests+B39*funder_http_requests+A39*sms_in_segments_per_cbo)-free_requests)/1000000*price_million_requests+min_instances*price_warm_instance</f>
        <v/>
      </c>
      <c r="F39" s="16">
        <f>MAX(0,A39*storage_mb_per_cbo/1024-free_storage_gb)*price_storage_gb</f>
        <v/>
      </c>
      <c r="G39" s="16">
        <f>MAX(0,B39*egress_mb_per_funder/1024-free_egress_gb)*price_egress_gb</f>
        <v/>
      </c>
      <c r="H39" s="16">
        <f>MAX(0,A39*firestore_writes_per_cbo-free_fs_writes)/100000*price_fs_write+MAX(0,A39*firestore_reads_per_cbo-free_fs_reads)/100000*price_fs_read</f>
        <v/>
      </c>
      <c r="I39" s="16">
        <f>A39*sms_out_cost_per_cbo</f>
        <v/>
      </c>
      <c r="J39" s="16">
        <f>A39*sms_in_cost_per_cbo</f>
        <v/>
      </c>
      <c r="K39" s="16">
        <f>A39*azure_cost_per_cbo</f>
        <v/>
      </c>
      <c r="L39" s="16">
        <f>A39*gemini_doc_cost_per_cbo</f>
        <v/>
      </c>
      <c r="M39" s="16">
        <f>A39*gemini_research_cost_per_cbo</f>
        <v/>
      </c>
      <c r="N39" s="16">
        <f>B39*gemini_search_cost_per_funder</f>
        <v/>
      </c>
      <c r="O39" s="16">
        <f>B39*gemini_question_cost_per_funder</f>
        <v/>
      </c>
      <c r="P39" s="16">
        <f>A39*gemini_sms_cost_per_cbo</f>
        <v/>
      </c>
      <c r="Q39" s="16">
        <f>B39*openai_cost_per_funder</f>
        <v/>
      </c>
      <c r="R39" s="16">
        <f>A39*claude_cost_per_cbo</f>
        <v/>
      </c>
      <c r="S39" s="16">
        <f>MAX(0,AB39-free_search)/1000*price_search_1k</f>
        <v/>
      </c>
      <c r="T39" s="16">
        <f>MAX(0,AA39-free_maps)/1000*price_map_1k</f>
        <v/>
      </c>
      <c r="U39" s="16">
        <f>MAX(0,A39*geocode_updates_per_cbo-free_geocode)/1000*price_geocode_1k</f>
        <v/>
      </c>
      <c r="V39" s="51">
        <f>SUM(C39:U39)</f>
        <v/>
      </c>
      <c r="W39" s="15">
        <f>V39*12</f>
        <v/>
      </c>
      <c r="X39" s="16">
        <f>IF(A39=0,NA(),V39/A39)</f>
        <v/>
      </c>
      <c r="Y39" s="17">
        <f>IF(V39=0,0,(I39+J39)/V39)</f>
        <v/>
      </c>
      <c r="Z39" s="17">
        <f>IF(V39=0,0,SUM(C39:H39)/V39)</f>
        <v/>
      </c>
      <c r="AA39" s="13">
        <f>B39*map_loads_per_funder</f>
        <v/>
      </c>
      <c r="AB39" s="13">
        <f>A39*refreshes_per_cbo_month*searches_per_refresh+B39*audits_per_funder*searches_per_audit</f>
        <v/>
      </c>
      <c r="AC39" s="13">
        <f>(A39*cbo_http_requests+B39*funder_http_requests+A39*sms_in_segments_per_cbo)*request_vcpu_seconds+A39*pages_per_cbo_month*page_vcpu_seconds</f>
        <v/>
      </c>
      <c r="AD39" s="13">
        <f>free_vcpu-AC39</f>
        <v/>
      </c>
    </row>
    <row r="40" ht="20" customHeight="1">
      <c r="A40" s="13">
        <f>cbo_tier_6</f>
        <v/>
      </c>
      <c r="B40" s="13">
        <f>funder_tier_5</f>
        <v/>
      </c>
      <c r="C40" s="16">
        <f>IF(OR(A40&gt;=step_std_at,B40&gt;=step_std_at),price_sql_std,IF(OR(A40&gt;=step_small_at,B40&gt;=step_small_at),price_sql_small,price_sql_micro))</f>
        <v/>
      </c>
      <c r="D40" s="16">
        <f>platform_fixed_fees</f>
        <v/>
      </c>
      <c r="E40" s="16">
        <f>MAX(0,AC40-free_vcpu)*price_vcpu+MAX(0,AC40*memory_gib-free_gib)*price_gib+MAX(0,(A40*cbo_http_requests+B40*funder_http_requests+A40*sms_in_segments_per_cbo)-free_requests)/1000000*price_million_requests+min_instances*price_warm_instance</f>
        <v/>
      </c>
      <c r="F40" s="16">
        <f>MAX(0,A40*storage_mb_per_cbo/1024-free_storage_gb)*price_storage_gb</f>
        <v/>
      </c>
      <c r="G40" s="16">
        <f>MAX(0,B40*egress_mb_per_funder/1024-free_egress_gb)*price_egress_gb</f>
        <v/>
      </c>
      <c r="H40" s="16">
        <f>MAX(0,A40*firestore_writes_per_cbo-free_fs_writes)/100000*price_fs_write+MAX(0,A40*firestore_reads_per_cbo-free_fs_reads)/100000*price_fs_read</f>
        <v/>
      </c>
      <c r="I40" s="16">
        <f>A40*sms_out_cost_per_cbo</f>
        <v/>
      </c>
      <c r="J40" s="16">
        <f>A40*sms_in_cost_per_cbo</f>
        <v/>
      </c>
      <c r="K40" s="16">
        <f>A40*azure_cost_per_cbo</f>
        <v/>
      </c>
      <c r="L40" s="16">
        <f>A40*gemini_doc_cost_per_cbo</f>
        <v/>
      </c>
      <c r="M40" s="16">
        <f>A40*gemini_research_cost_per_cbo</f>
        <v/>
      </c>
      <c r="N40" s="16">
        <f>B40*gemini_search_cost_per_funder</f>
        <v/>
      </c>
      <c r="O40" s="16">
        <f>B40*gemini_question_cost_per_funder</f>
        <v/>
      </c>
      <c r="P40" s="16">
        <f>A40*gemini_sms_cost_per_cbo</f>
        <v/>
      </c>
      <c r="Q40" s="16">
        <f>B40*openai_cost_per_funder</f>
        <v/>
      </c>
      <c r="R40" s="16">
        <f>A40*claude_cost_per_cbo</f>
        <v/>
      </c>
      <c r="S40" s="16">
        <f>MAX(0,AB40-free_search)/1000*price_search_1k</f>
        <v/>
      </c>
      <c r="T40" s="16">
        <f>MAX(0,AA40-free_maps)/1000*price_map_1k</f>
        <v/>
      </c>
      <c r="U40" s="16">
        <f>MAX(0,A40*geocode_updates_per_cbo-free_geocode)/1000*price_geocode_1k</f>
        <v/>
      </c>
      <c r="V40" s="51">
        <f>SUM(C40:U40)</f>
        <v/>
      </c>
      <c r="W40" s="15">
        <f>V40*12</f>
        <v/>
      </c>
      <c r="X40" s="16">
        <f>IF(A40=0,NA(),V40/A40)</f>
        <v/>
      </c>
      <c r="Y40" s="17">
        <f>IF(V40=0,0,(I40+J40)/V40)</f>
        <v/>
      </c>
      <c r="Z40" s="17">
        <f>IF(V40=0,0,SUM(C40:H40)/V40)</f>
        <v/>
      </c>
      <c r="AA40" s="13">
        <f>B40*map_loads_per_funder</f>
        <v/>
      </c>
      <c r="AB40" s="13">
        <f>A40*refreshes_per_cbo_month*searches_per_refresh+B40*audits_per_funder*searches_per_audit</f>
        <v/>
      </c>
      <c r="AC40" s="13">
        <f>(A40*cbo_http_requests+B40*funder_http_requests+A40*sms_in_segments_per_cbo)*request_vcpu_seconds+A40*pages_per_cbo_month*page_vcpu_seconds</f>
        <v/>
      </c>
      <c r="AD40" s="13">
        <f>free_vcpu-AC40</f>
        <v/>
      </c>
    </row>
    <row r="41" ht="20" customHeight="1">
      <c r="A41" s="13">
        <f>cbo_tier_6</f>
        <v/>
      </c>
      <c r="B41" s="13">
        <f>funder_tier_6</f>
        <v/>
      </c>
      <c r="C41" s="16">
        <f>IF(OR(A41&gt;=step_std_at,B41&gt;=step_std_at),price_sql_std,IF(OR(A41&gt;=step_small_at,B41&gt;=step_small_at),price_sql_small,price_sql_micro))</f>
        <v/>
      </c>
      <c r="D41" s="16">
        <f>platform_fixed_fees</f>
        <v/>
      </c>
      <c r="E41" s="16">
        <f>MAX(0,AC41-free_vcpu)*price_vcpu+MAX(0,AC41*memory_gib-free_gib)*price_gib+MAX(0,(A41*cbo_http_requests+B41*funder_http_requests+A41*sms_in_segments_per_cbo)-free_requests)/1000000*price_million_requests+min_instances*price_warm_instance</f>
        <v/>
      </c>
      <c r="F41" s="16">
        <f>MAX(0,A41*storage_mb_per_cbo/1024-free_storage_gb)*price_storage_gb</f>
        <v/>
      </c>
      <c r="G41" s="16">
        <f>MAX(0,B41*egress_mb_per_funder/1024-free_egress_gb)*price_egress_gb</f>
        <v/>
      </c>
      <c r="H41" s="16">
        <f>MAX(0,A41*firestore_writes_per_cbo-free_fs_writes)/100000*price_fs_write+MAX(0,A41*firestore_reads_per_cbo-free_fs_reads)/100000*price_fs_read</f>
        <v/>
      </c>
      <c r="I41" s="16">
        <f>A41*sms_out_cost_per_cbo</f>
        <v/>
      </c>
      <c r="J41" s="16">
        <f>A41*sms_in_cost_per_cbo</f>
        <v/>
      </c>
      <c r="K41" s="16">
        <f>A41*azure_cost_per_cbo</f>
        <v/>
      </c>
      <c r="L41" s="16">
        <f>A41*gemini_doc_cost_per_cbo</f>
        <v/>
      </c>
      <c r="M41" s="16">
        <f>A41*gemini_research_cost_per_cbo</f>
        <v/>
      </c>
      <c r="N41" s="16">
        <f>B41*gemini_search_cost_per_funder</f>
        <v/>
      </c>
      <c r="O41" s="16">
        <f>B41*gemini_question_cost_per_funder</f>
        <v/>
      </c>
      <c r="P41" s="16">
        <f>A41*gemini_sms_cost_per_cbo</f>
        <v/>
      </c>
      <c r="Q41" s="16">
        <f>B41*openai_cost_per_funder</f>
        <v/>
      </c>
      <c r="R41" s="16">
        <f>A41*claude_cost_per_cbo</f>
        <v/>
      </c>
      <c r="S41" s="16">
        <f>MAX(0,AB41-free_search)/1000*price_search_1k</f>
        <v/>
      </c>
      <c r="T41" s="16">
        <f>MAX(0,AA41-free_maps)/1000*price_map_1k</f>
        <v/>
      </c>
      <c r="U41" s="16">
        <f>MAX(0,A41*geocode_updates_per_cbo-free_geocode)/1000*price_geocode_1k</f>
        <v/>
      </c>
      <c r="V41" s="51">
        <f>SUM(C41:U41)</f>
        <v/>
      </c>
      <c r="W41" s="15">
        <f>V41*12</f>
        <v/>
      </c>
      <c r="X41" s="16">
        <f>IF(A41=0,NA(),V41/A41)</f>
        <v/>
      </c>
      <c r="Y41" s="17">
        <f>IF(V41=0,0,(I41+J41)/V41)</f>
        <v/>
      </c>
      <c r="Z41" s="17">
        <f>IF(V41=0,0,SUM(C41:H41)/V41)</f>
        <v/>
      </c>
      <c r="AA41" s="13">
        <f>B41*map_loads_per_funder</f>
        <v/>
      </c>
      <c r="AB41" s="13">
        <f>A41*refreshes_per_cbo_month*searches_per_refresh+B41*audits_per_funder*searches_per_audit</f>
        <v/>
      </c>
      <c r="AC41" s="13">
        <f>(A41*cbo_http_requests+B41*funder_http_requests+A41*sms_in_segments_per_cbo)*request_vcpu_seconds+A41*pages_per_cbo_month*page_vcpu_seconds</f>
        <v/>
      </c>
      <c r="AD41" s="13">
        <f>free_vcpu-AC41</f>
        <v/>
      </c>
    </row>
  </sheetData>
  <autoFilter ref="A5:AD41"/>
  <mergeCells count="9">
    <mergeCell ref="A4:B4"/>
    <mergeCell ref="A2:L2"/>
    <mergeCell ref="N4:R4"/>
    <mergeCell ref="I4:J4"/>
    <mergeCell ref="K4:M4"/>
    <mergeCell ref="S4:U4"/>
    <mergeCell ref="AA4:AD4"/>
    <mergeCell ref="C4:H4"/>
    <mergeCell ref="V4:Z4"/>
  </mergeCells>
  <conditionalFormatting sqref="V6:V41">
    <cfRule type="colorScale" priority="1">
      <colorScale>
        <cfvo type="min"/>
        <cfvo type="percentile" val="50"/>
        <cfvo type="max"/>
        <color rgb="00E7F3F1"/>
        <color rgb="00F4E4C4"/>
        <color rgb="00E7B3A0"/>
      </colorScale>
    </cfRule>
  </conditionalFormatting>
  <conditionalFormatting sqref="AD6:AD41">
    <cfRule type="cellIs" priority="2" operator="lessThan" dxfId="0">
      <formula>0</formula>
    </cfRule>
  </conditionalFormatting>
  <pageMargins left="0.5" right="0.5" top="0.7" bottom="0.6" header="0.5" footer="0.5"/>
  <pageSetup orientation="landscape" paperSize="3" fitToHeight="1" fitToWidth="1"/>
  <headerFooter>
    <oddHeader>&amp;LKumbu Connect  ·  production cost model&amp;CScenario detail</oddHeader>
    <oddFooter>&amp;LPlanning estimates from public list prices. Not an invoice.&amp;RPage &amp;P</oddFooter>
    <evenHeader/>
    <evenFooter/>
    <firstHeader/>
    <firstFooter/>
  </headerFooter>
</worksheet>
</file>

<file path=xl/worksheets/sheet5.xml><?xml version="1.0" encoding="utf-8"?>
<worksheet xmlns="http://schemas.openxmlformats.org/spreadsheetml/2006/main">
  <sheetPr>
    <tabColor rgb="0016302B"/>
    <outlinePr summaryBelow="1" summaryRight="1"/>
    <pageSetUpPr fitToPage="1"/>
  </sheetPr>
  <dimension ref="A1:G22"/>
  <sheetViews>
    <sheetView showGridLines="0" zoomScale="110" workbookViewId="0">
      <pane xSplit="1" ySplit="5" topLeftCell="B6"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8" customWidth="1" min="8" max="8"/>
  </cols>
  <sheetData>
    <row r="1">
      <c r="A1" s="1" t="inlineStr">
        <is>
          <t>Monthly cost</t>
        </is>
      </c>
    </row>
    <row r="2" ht="32" customHeight="1">
      <c r="A2" s="2" t="inlineStr">
        <is>
          <t>Read across for more funders, and down for more CBOs. The jump at 200 and at 500 is the database step, triggered by whichever side gets there first.</t>
        </is>
      </c>
    </row>
    <row r="4">
      <c r="A4" s="18" t="inlineStr">
        <is>
          <t>Active funders →</t>
        </is>
      </c>
      <c r="B4" s="19">
        <f>funder_tier_1</f>
        <v/>
      </c>
      <c r="C4" s="19">
        <f>funder_tier_2</f>
        <v/>
      </c>
      <c r="D4" s="19">
        <f>funder_tier_3</f>
        <v/>
      </c>
      <c r="E4" s="19">
        <f>funder_tier_4</f>
        <v/>
      </c>
      <c r="F4" s="19">
        <f>funder_tier_5</f>
        <v/>
      </c>
      <c r="G4" s="19">
        <f>funder_tier_6</f>
        <v/>
      </c>
    </row>
    <row r="5">
      <c r="A5" s="7" t="inlineStr">
        <is>
          <t>Active CBOs ↓</t>
        </is>
      </c>
      <c r="B5" s="52" t="inlineStr">
        <is>
          <t>USD / month</t>
        </is>
      </c>
      <c r="C5" s="52" t="inlineStr">
        <is>
          <t>USD / month</t>
        </is>
      </c>
      <c r="D5" s="52" t="inlineStr">
        <is>
          <t>USD / month</t>
        </is>
      </c>
      <c r="E5" s="52" t="inlineStr">
        <is>
          <t>USD / month</t>
        </is>
      </c>
      <c r="F5" s="52" t="inlineStr">
        <is>
          <t>USD / month</t>
        </is>
      </c>
      <c r="G5" s="52" t="inlineStr">
        <is>
          <t>USD / month</t>
        </is>
      </c>
    </row>
    <row r="6" ht="24" customHeight="1">
      <c r="A6" s="20">
        <f>cbo_tier_1</f>
        <v/>
      </c>
      <c r="B6" s="14">
        <f>SUMIFS(Scenarios!$V$6:$V$41,Scenarios!$A$6:$A$41,cbo_tier_1,Scenarios!$B$6:$B$41,funder_tier_1)</f>
        <v/>
      </c>
      <c r="C6" s="14">
        <f>SUMIFS(Scenarios!$V$6:$V$41,Scenarios!$A$6:$A$41,cbo_tier_1,Scenarios!$B$6:$B$41,funder_tier_2)</f>
        <v/>
      </c>
      <c r="D6" s="14">
        <f>SUMIFS(Scenarios!$V$6:$V$41,Scenarios!$A$6:$A$41,cbo_tier_1,Scenarios!$B$6:$B$41,funder_tier_3)</f>
        <v/>
      </c>
      <c r="E6" s="14">
        <f>SUMIFS(Scenarios!$V$6:$V$41,Scenarios!$A$6:$A$41,cbo_tier_1,Scenarios!$B$6:$B$41,funder_tier_4)</f>
        <v/>
      </c>
      <c r="F6" s="14">
        <f>SUMIFS(Scenarios!$V$6:$V$41,Scenarios!$A$6:$A$41,cbo_tier_1,Scenarios!$B$6:$B$41,funder_tier_5)</f>
        <v/>
      </c>
      <c r="G6" s="14">
        <f>SUMIFS(Scenarios!$V$6:$V$41,Scenarios!$A$6:$A$41,cbo_tier_1,Scenarios!$B$6:$B$41,funder_tier_6)</f>
        <v/>
      </c>
    </row>
    <row r="7" ht="24" customHeight="1">
      <c r="A7" s="20">
        <f>cbo_tier_2</f>
        <v/>
      </c>
      <c r="B7" s="14">
        <f>SUMIFS(Scenarios!$V$6:$V$41,Scenarios!$A$6:$A$41,cbo_tier_2,Scenarios!$B$6:$B$41,funder_tier_1)</f>
        <v/>
      </c>
      <c r="C7" s="14">
        <f>SUMIFS(Scenarios!$V$6:$V$41,Scenarios!$A$6:$A$41,cbo_tier_2,Scenarios!$B$6:$B$41,funder_tier_2)</f>
        <v/>
      </c>
      <c r="D7" s="14">
        <f>SUMIFS(Scenarios!$V$6:$V$41,Scenarios!$A$6:$A$41,cbo_tier_2,Scenarios!$B$6:$B$41,funder_tier_3)</f>
        <v/>
      </c>
      <c r="E7" s="14">
        <f>SUMIFS(Scenarios!$V$6:$V$41,Scenarios!$A$6:$A$41,cbo_tier_2,Scenarios!$B$6:$B$41,funder_tier_4)</f>
        <v/>
      </c>
      <c r="F7" s="14">
        <f>SUMIFS(Scenarios!$V$6:$V$41,Scenarios!$A$6:$A$41,cbo_tier_2,Scenarios!$B$6:$B$41,funder_tier_5)</f>
        <v/>
      </c>
      <c r="G7" s="14">
        <f>SUMIFS(Scenarios!$V$6:$V$41,Scenarios!$A$6:$A$41,cbo_tier_2,Scenarios!$B$6:$B$41,funder_tier_6)</f>
        <v/>
      </c>
    </row>
    <row r="8" ht="24" customHeight="1">
      <c r="A8" s="20">
        <f>cbo_tier_3</f>
        <v/>
      </c>
      <c r="B8" s="14">
        <f>SUMIFS(Scenarios!$V$6:$V$41,Scenarios!$A$6:$A$41,cbo_tier_3,Scenarios!$B$6:$B$41,funder_tier_1)</f>
        <v/>
      </c>
      <c r="C8" s="14">
        <f>SUMIFS(Scenarios!$V$6:$V$41,Scenarios!$A$6:$A$41,cbo_tier_3,Scenarios!$B$6:$B$41,funder_tier_2)</f>
        <v/>
      </c>
      <c r="D8" s="14">
        <f>SUMIFS(Scenarios!$V$6:$V$41,Scenarios!$A$6:$A$41,cbo_tier_3,Scenarios!$B$6:$B$41,funder_tier_3)</f>
        <v/>
      </c>
      <c r="E8" s="14">
        <f>SUMIFS(Scenarios!$V$6:$V$41,Scenarios!$A$6:$A$41,cbo_tier_3,Scenarios!$B$6:$B$41,funder_tier_4)</f>
        <v/>
      </c>
      <c r="F8" s="14">
        <f>SUMIFS(Scenarios!$V$6:$V$41,Scenarios!$A$6:$A$41,cbo_tier_3,Scenarios!$B$6:$B$41,funder_tier_5)</f>
        <v/>
      </c>
      <c r="G8" s="14">
        <f>SUMIFS(Scenarios!$V$6:$V$41,Scenarios!$A$6:$A$41,cbo_tier_3,Scenarios!$B$6:$B$41,funder_tier_6)</f>
        <v/>
      </c>
    </row>
    <row r="9" ht="24" customHeight="1">
      <c r="A9" s="20">
        <f>cbo_tier_4</f>
        <v/>
      </c>
      <c r="B9" s="14">
        <f>SUMIFS(Scenarios!$V$6:$V$41,Scenarios!$A$6:$A$41,cbo_tier_4,Scenarios!$B$6:$B$41,funder_tier_1)</f>
        <v/>
      </c>
      <c r="C9" s="14">
        <f>SUMIFS(Scenarios!$V$6:$V$41,Scenarios!$A$6:$A$41,cbo_tier_4,Scenarios!$B$6:$B$41,funder_tier_2)</f>
        <v/>
      </c>
      <c r="D9" s="14">
        <f>SUMIFS(Scenarios!$V$6:$V$41,Scenarios!$A$6:$A$41,cbo_tier_4,Scenarios!$B$6:$B$41,funder_tier_3)</f>
        <v/>
      </c>
      <c r="E9" s="14">
        <f>SUMIFS(Scenarios!$V$6:$V$41,Scenarios!$A$6:$A$41,cbo_tier_4,Scenarios!$B$6:$B$41,funder_tier_4)</f>
        <v/>
      </c>
      <c r="F9" s="14">
        <f>SUMIFS(Scenarios!$V$6:$V$41,Scenarios!$A$6:$A$41,cbo_tier_4,Scenarios!$B$6:$B$41,funder_tier_5)</f>
        <v/>
      </c>
      <c r="G9" s="14">
        <f>SUMIFS(Scenarios!$V$6:$V$41,Scenarios!$A$6:$A$41,cbo_tier_4,Scenarios!$B$6:$B$41,funder_tier_6)</f>
        <v/>
      </c>
    </row>
    <row r="10" ht="24" customHeight="1">
      <c r="A10" s="20">
        <f>cbo_tier_5</f>
        <v/>
      </c>
      <c r="B10" s="14">
        <f>SUMIFS(Scenarios!$V$6:$V$41,Scenarios!$A$6:$A$41,cbo_tier_5,Scenarios!$B$6:$B$41,funder_tier_1)</f>
        <v/>
      </c>
      <c r="C10" s="14">
        <f>SUMIFS(Scenarios!$V$6:$V$41,Scenarios!$A$6:$A$41,cbo_tier_5,Scenarios!$B$6:$B$41,funder_tier_2)</f>
        <v/>
      </c>
      <c r="D10" s="14">
        <f>SUMIFS(Scenarios!$V$6:$V$41,Scenarios!$A$6:$A$41,cbo_tier_5,Scenarios!$B$6:$B$41,funder_tier_3)</f>
        <v/>
      </c>
      <c r="E10" s="14">
        <f>SUMIFS(Scenarios!$V$6:$V$41,Scenarios!$A$6:$A$41,cbo_tier_5,Scenarios!$B$6:$B$41,funder_tier_4)</f>
        <v/>
      </c>
      <c r="F10" s="14">
        <f>SUMIFS(Scenarios!$V$6:$V$41,Scenarios!$A$6:$A$41,cbo_tier_5,Scenarios!$B$6:$B$41,funder_tier_5)</f>
        <v/>
      </c>
      <c r="G10" s="14">
        <f>SUMIFS(Scenarios!$V$6:$V$41,Scenarios!$A$6:$A$41,cbo_tier_5,Scenarios!$B$6:$B$41,funder_tier_6)</f>
        <v/>
      </c>
    </row>
    <row r="11" ht="24" customHeight="1">
      <c r="A11" s="20">
        <f>cbo_tier_6</f>
        <v/>
      </c>
      <c r="B11" s="14">
        <f>SUMIFS(Scenarios!$V$6:$V$41,Scenarios!$A$6:$A$41,cbo_tier_6,Scenarios!$B$6:$B$41,funder_tier_1)</f>
        <v/>
      </c>
      <c r="C11" s="14">
        <f>SUMIFS(Scenarios!$V$6:$V$41,Scenarios!$A$6:$A$41,cbo_tier_6,Scenarios!$B$6:$B$41,funder_tier_2)</f>
        <v/>
      </c>
      <c r="D11" s="14">
        <f>SUMIFS(Scenarios!$V$6:$V$41,Scenarios!$A$6:$A$41,cbo_tier_6,Scenarios!$B$6:$B$41,funder_tier_3)</f>
        <v/>
      </c>
      <c r="E11" s="14">
        <f>SUMIFS(Scenarios!$V$6:$V$41,Scenarios!$A$6:$A$41,cbo_tier_6,Scenarios!$B$6:$B$41,funder_tier_4)</f>
        <v/>
      </c>
      <c r="F11" s="14">
        <f>SUMIFS(Scenarios!$V$6:$V$41,Scenarios!$A$6:$A$41,cbo_tier_6,Scenarios!$B$6:$B$41,funder_tier_5)</f>
        <v/>
      </c>
      <c r="G11" s="14">
        <f>SUMIFS(Scenarios!$V$6:$V$41,Scenarios!$A$6:$A$41,cbo_tier_6,Scenarios!$B$6:$B$41,funder_tier_6)</f>
        <v/>
      </c>
    </row>
    <row r="13">
      <c r="A13" s="3" t="inlineStr">
        <is>
          <t>Monthly cost per active CBO</t>
        </is>
      </c>
    </row>
    <row r="14" ht="32" customHeight="1">
      <c r="A14" s="2" t="inlineStr">
        <is>
          <t>The cost per organization falls as the fixed database bill is spread out, then levels off near the SMS cost. More funders barely change the cost per CBO until they force a larger database.</t>
        </is>
      </c>
    </row>
    <row r="16">
      <c r="A16" s="18" t="inlineStr">
        <is>
          <t>Active funders →</t>
        </is>
      </c>
      <c r="B16" s="19">
        <f>funder_tier_1</f>
        <v/>
      </c>
      <c r="C16" s="19">
        <f>funder_tier_2</f>
        <v/>
      </c>
      <c r="D16" s="19">
        <f>funder_tier_3</f>
        <v/>
      </c>
      <c r="E16" s="19">
        <f>funder_tier_4</f>
        <v/>
      </c>
      <c r="F16" s="19">
        <f>funder_tier_5</f>
        <v/>
      </c>
      <c r="G16" s="19">
        <f>funder_tier_6</f>
        <v/>
      </c>
    </row>
    <row r="17" ht="22" customHeight="1">
      <c r="A17" s="20">
        <f>cbo_tier_1</f>
        <v/>
      </c>
      <c r="B17" s="16">
        <f>IF(A17=0,NA(),B6/A17)</f>
        <v/>
      </c>
      <c r="C17" s="16">
        <f>IF(A17=0,NA(),C6/A17)</f>
        <v/>
      </c>
      <c r="D17" s="16">
        <f>IF(A17=0,NA(),D6/A17)</f>
        <v/>
      </c>
      <c r="E17" s="16">
        <f>IF(A17=0,NA(),E6/A17)</f>
        <v/>
      </c>
      <c r="F17" s="16">
        <f>IF(A17=0,NA(),F6/A17)</f>
        <v/>
      </c>
      <c r="G17" s="16">
        <f>IF(A17=0,NA(),G6/A17)</f>
        <v/>
      </c>
    </row>
    <row r="18" ht="22" customHeight="1">
      <c r="A18" s="20">
        <f>cbo_tier_2</f>
        <v/>
      </c>
      <c r="B18" s="16">
        <f>IF(A18=0,NA(),B7/A18)</f>
        <v/>
      </c>
      <c r="C18" s="16">
        <f>IF(A18=0,NA(),C7/A18)</f>
        <v/>
      </c>
      <c r="D18" s="16">
        <f>IF(A18=0,NA(),D7/A18)</f>
        <v/>
      </c>
      <c r="E18" s="16">
        <f>IF(A18=0,NA(),E7/A18)</f>
        <v/>
      </c>
      <c r="F18" s="16">
        <f>IF(A18=0,NA(),F7/A18)</f>
        <v/>
      </c>
      <c r="G18" s="16">
        <f>IF(A18=0,NA(),G7/A18)</f>
        <v/>
      </c>
    </row>
    <row r="19" ht="22" customHeight="1">
      <c r="A19" s="20">
        <f>cbo_tier_3</f>
        <v/>
      </c>
      <c r="B19" s="16">
        <f>IF(A19=0,NA(),B8/A19)</f>
        <v/>
      </c>
      <c r="C19" s="16">
        <f>IF(A19=0,NA(),C8/A19)</f>
        <v/>
      </c>
      <c r="D19" s="16">
        <f>IF(A19=0,NA(),D8/A19)</f>
        <v/>
      </c>
      <c r="E19" s="16">
        <f>IF(A19=0,NA(),E8/A19)</f>
        <v/>
      </c>
      <c r="F19" s="16">
        <f>IF(A19=0,NA(),F8/A19)</f>
        <v/>
      </c>
      <c r="G19" s="16">
        <f>IF(A19=0,NA(),G8/A19)</f>
        <v/>
      </c>
    </row>
    <row r="20" ht="22" customHeight="1">
      <c r="A20" s="20">
        <f>cbo_tier_4</f>
        <v/>
      </c>
      <c r="B20" s="16">
        <f>IF(A20=0,NA(),B9/A20)</f>
        <v/>
      </c>
      <c r="C20" s="16">
        <f>IF(A20=0,NA(),C9/A20)</f>
        <v/>
      </c>
      <c r="D20" s="16">
        <f>IF(A20=0,NA(),D9/A20)</f>
        <v/>
      </c>
      <c r="E20" s="16">
        <f>IF(A20=0,NA(),E9/A20)</f>
        <v/>
      </c>
      <c r="F20" s="16">
        <f>IF(A20=0,NA(),F9/A20)</f>
        <v/>
      </c>
      <c r="G20" s="16">
        <f>IF(A20=0,NA(),G9/A20)</f>
        <v/>
      </c>
    </row>
    <row r="21" ht="22" customHeight="1">
      <c r="A21" s="20">
        <f>cbo_tier_5</f>
        <v/>
      </c>
      <c r="B21" s="16">
        <f>IF(A21=0,NA(),B10/A21)</f>
        <v/>
      </c>
      <c r="C21" s="16">
        <f>IF(A21=0,NA(),C10/A21)</f>
        <v/>
      </c>
      <c r="D21" s="16">
        <f>IF(A21=0,NA(),D10/A21)</f>
        <v/>
      </c>
      <c r="E21" s="16">
        <f>IF(A21=0,NA(),E10/A21)</f>
        <v/>
      </c>
      <c r="F21" s="16">
        <f>IF(A21=0,NA(),F10/A21)</f>
        <v/>
      </c>
      <c r="G21" s="16">
        <f>IF(A21=0,NA(),G10/A21)</f>
        <v/>
      </c>
    </row>
    <row r="22" ht="22" customHeight="1">
      <c r="A22" s="20">
        <f>cbo_tier_6</f>
        <v/>
      </c>
      <c r="B22" s="16">
        <f>IF(A22=0,NA(),B11/A22)</f>
        <v/>
      </c>
      <c r="C22" s="16">
        <f>IF(A22=0,NA(),C11/A22)</f>
        <v/>
      </c>
      <c r="D22" s="16">
        <f>IF(A22=0,NA(),D11/A22)</f>
        <v/>
      </c>
      <c r="E22" s="16">
        <f>IF(A22=0,NA(),E11/A22)</f>
        <v/>
      </c>
      <c r="F22" s="16">
        <f>IF(A22=0,NA(),F11/A22)</f>
        <v/>
      </c>
      <c r="G22" s="16">
        <f>IF(A22=0,NA(),G11/A22)</f>
        <v/>
      </c>
    </row>
  </sheetData>
  <mergeCells count="2">
    <mergeCell ref="A14:G14"/>
    <mergeCell ref="A2:G2"/>
  </mergeCells>
  <conditionalFormatting sqref="B6:G11">
    <cfRule type="colorScale" priority="1">
      <colorScale>
        <cfvo type="min"/>
        <cfvo type="percentile" val="50"/>
        <cfvo type="max"/>
        <color rgb="00E7F3F1"/>
        <color rgb="00F6E7C1"/>
        <color rgb="00E39B88"/>
      </colorScale>
    </cfRule>
  </conditionalFormatting>
  <conditionalFormatting sqref="B17:G22">
    <cfRule type="colorScale" priority="2">
      <colorScale>
        <cfvo type="min"/>
        <cfvo type="percentile" val="50"/>
        <cfvo type="max"/>
        <color rgb="00E7F3F1"/>
        <color rgb="00F6E7C1"/>
        <color rgb="00E39B88"/>
      </colorScale>
    </cfRule>
  </conditionalFormatting>
  <pageMargins left="0.5" right="0.5" top="0.7" bottom="0.6" header="0.5" footer="0.5"/>
  <pageSetup orientation="landscape" paperSize="3" fitToHeight="1" fitToWidth="1"/>
  <headerFooter>
    <oddHeader>&amp;LKumbu Connect  ·  production cost model</oddHeader>
    <oddFooter>&amp;LPlanning estimates from public list prices. Not an invoice.&amp;RPage &amp;P</oddFooter>
    <evenHeader/>
    <evenFooter/>
    <firstHeader/>
    <firstFooter/>
  </headerFooter>
</worksheet>
</file>

<file path=xl/worksheets/sheet6.xml><?xml version="1.0" encoding="utf-8"?>
<worksheet xmlns="http://schemas.openxmlformats.org/spreadsheetml/2006/main">
  <sheetPr>
    <tabColor rgb="0016302B"/>
    <outlinePr summaryBelow="1" summaryRight="1"/>
    <pageSetUpPr fitToPage="1"/>
  </sheetPr>
  <dimension ref="A1:G22"/>
  <sheetViews>
    <sheetView showGridLines="0" zoomScale="110" workbookViewId="0">
      <pane xSplit="1" ySplit="5" topLeftCell="B6"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8" customWidth="1" min="8" max="8"/>
  </cols>
  <sheetData>
    <row r="1">
      <c r="A1" s="1" t="inlineStr">
        <is>
          <t>Annual cost</t>
        </is>
      </c>
    </row>
    <row r="2" ht="32" customHeight="1">
      <c r="A2" s="2" t="inlineStr">
        <is>
          <t>Same active-funder count in each column, same active-CBO count in each row. Annual figures are the monthly run-rate times 12. They are not a growth path.</t>
        </is>
      </c>
    </row>
    <row r="4">
      <c r="A4" s="18" t="inlineStr">
        <is>
          <t>Active funders →</t>
        </is>
      </c>
      <c r="B4" s="19">
        <f>funder_tier_1</f>
        <v/>
      </c>
      <c r="C4" s="19">
        <f>funder_tier_2</f>
        <v/>
      </c>
      <c r="D4" s="19">
        <f>funder_tier_3</f>
        <v/>
      </c>
      <c r="E4" s="19">
        <f>funder_tier_4</f>
        <v/>
      </c>
      <c r="F4" s="19">
        <f>funder_tier_5</f>
        <v/>
      </c>
      <c r="G4" s="19">
        <f>funder_tier_6</f>
        <v/>
      </c>
    </row>
    <row r="5">
      <c r="A5" s="7" t="inlineStr">
        <is>
          <t>Active CBOs ↓</t>
        </is>
      </c>
      <c r="B5" s="52" t="inlineStr">
        <is>
          <t>USD / year</t>
        </is>
      </c>
      <c r="C5" s="52" t="inlineStr">
        <is>
          <t>USD / year</t>
        </is>
      </c>
      <c r="D5" s="52" t="inlineStr">
        <is>
          <t>USD / year</t>
        </is>
      </c>
      <c r="E5" s="52" t="inlineStr">
        <is>
          <t>USD / year</t>
        </is>
      </c>
      <c r="F5" s="52" t="inlineStr">
        <is>
          <t>USD / year</t>
        </is>
      </c>
      <c r="G5" s="52" t="inlineStr">
        <is>
          <t>USD / year</t>
        </is>
      </c>
    </row>
    <row r="6" ht="24" customHeight="1">
      <c r="A6" s="20">
        <f>cbo_tier_1</f>
        <v/>
      </c>
      <c r="B6" s="53">
        <f>SUMIFS(Scenarios!$W$6:$W$41,Scenarios!$A$6:$A$41,cbo_tier_1,Scenarios!$B$6:$B$41,funder_tier_1)</f>
        <v/>
      </c>
      <c r="C6" s="53">
        <f>SUMIFS(Scenarios!$W$6:$W$41,Scenarios!$A$6:$A$41,cbo_tier_1,Scenarios!$B$6:$B$41,funder_tier_2)</f>
        <v/>
      </c>
      <c r="D6" s="53">
        <f>SUMIFS(Scenarios!$W$6:$W$41,Scenarios!$A$6:$A$41,cbo_tier_1,Scenarios!$B$6:$B$41,funder_tier_3)</f>
        <v/>
      </c>
      <c r="E6" s="53">
        <f>SUMIFS(Scenarios!$W$6:$W$41,Scenarios!$A$6:$A$41,cbo_tier_1,Scenarios!$B$6:$B$41,funder_tier_4)</f>
        <v/>
      </c>
      <c r="F6" s="53">
        <f>SUMIFS(Scenarios!$W$6:$W$41,Scenarios!$A$6:$A$41,cbo_tier_1,Scenarios!$B$6:$B$41,funder_tier_5)</f>
        <v/>
      </c>
      <c r="G6" s="53">
        <f>SUMIFS(Scenarios!$W$6:$W$41,Scenarios!$A$6:$A$41,cbo_tier_1,Scenarios!$B$6:$B$41,funder_tier_6)</f>
        <v/>
      </c>
    </row>
    <row r="7" ht="24" customHeight="1">
      <c r="A7" s="20">
        <f>cbo_tier_2</f>
        <v/>
      </c>
      <c r="B7" s="53">
        <f>SUMIFS(Scenarios!$W$6:$W$41,Scenarios!$A$6:$A$41,cbo_tier_2,Scenarios!$B$6:$B$41,funder_tier_1)</f>
        <v/>
      </c>
      <c r="C7" s="53">
        <f>SUMIFS(Scenarios!$W$6:$W$41,Scenarios!$A$6:$A$41,cbo_tier_2,Scenarios!$B$6:$B$41,funder_tier_2)</f>
        <v/>
      </c>
      <c r="D7" s="53">
        <f>SUMIFS(Scenarios!$W$6:$W$41,Scenarios!$A$6:$A$41,cbo_tier_2,Scenarios!$B$6:$B$41,funder_tier_3)</f>
        <v/>
      </c>
      <c r="E7" s="53">
        <f>SUMIFS(Scenarios!$W$6:$W$41,Scenarios!$A$6:$A$41,cbo_tier_2,Scenarios!$B$6:$B$41,funder_tier_4)</f>
        <v/>
      </c>
      <c r="F7" s="53">
        <f>SUMIFS(Scenarios!$W$6:$W$41,Scenarios!$A$6:$A$41,cbo_tier_2,Scenarios!$B$6:$B$41,funder_tier_5)</f>
        <v/>
      </c>
      <c r="G7" s="53">
        <f>SUMIFS(Scenarios!$W$6:$W$41,Scenarios!$A$6:$A$41,cbo_tier_2,Scenarios!$B$6:$B$41,funder_tier_6)</f>
        <v/>
      </c>
    </row>
    <row r="8" ht="24" customHeight="1">
      <c r="A8" s="20">
        <f>cbo_tier_3</f>
        <v/>
      </c>
      <c r="B8" s="53">
        <f>SUMIFS(Scenarios!$W$6:$W$41,Scenarios!$A$6:$A$41,cbo_tier_3,Scenarios!$B$6:$B$41,funder_tier_1)</f>
        <v/>
      </c>
      <c r="C8" s="53">
        <f>SUMIFS(Scenarios!$W$6:$W$41,Scenarios!$A$6:$A$41,cbo_tier_3,Scenarios!$B$6:$B$41,funder_tier_2)</f>
        <v/>
      </c>
      <c r="D8" s="53">
        <f>SUMIFS(Scenarios!$W$6:$W$41,Scenarios!$A$6:$A$41,cbo_tier_3,Scenarios!$B$6:$B$41,funder_tier_3)</f>
        <v/>
      </c>
      <c r="E8" s="53">
        <f>SUMIFS(Scenarios!$W$6:$W$41,Scenarios!$A$6:$A$41,cbo_tier_3,Scenarios!$B$6:$B$41,funder_tier_4)</f>
        <v/>
      </c>
      <c r="F8" s="53">
        <f>SUMIFS(Scenarios!$W$6:$W$41,Scenarios!$A$6:$A$41,cbo_tier_3,Scenarios!$B$6:$B$41,funder_tier_5)</f>
        <v/>
      </c>
      <c r="G8" s="53">
        <f>SUMIFS(Scenarios!$W$6:$W$41,Scenarios!$A$6:$A$41,cbo_tier_3,Scenarios!$B$6:$B$41,funder_tier_6)</f>
        <v/>
      </c>
    </row>
    <row r="9" ht="24" customHeight="1">
      <c r="A9" s="20">
        <f>cbo_tier_4</f>
        <v/>
      </c>
      <c r="B9" s="53">
        <f>SUMIFS(Scenarios!$W$6:$W$41,Scenarios!$A$6:$A$41,cbo_tier_4,Scenarios!$B$6:$B$41,funder_tier_1)</f>
        <v/>
      </c>
      <c r="C9" s="53">
        <f>SUMIFS(Scenarios!$W$6:$W$41,Scenarios!$A$6:$A$41,cbo_tier_4,Scenarios!$B$6:$B$41,funder_tier_2)</f>
        <v/>
      </c>
      <c r="D9" s="53">
        <f>SUMIFS(Scenarios!$W$6:$W$41,Scenarios!$A$6:$A$41,cbo_tier_4,Scenarios!$B$6:$B$41,funder_tier_3)</f>
        <v/>
      </c>
      <c r="E9" s="53">
        <f>SUMIFS(Scenarios!$W$6:$W$41,Scenarios!$A$6:$A$41,cbo_tier_4,Scenarios!$B$6:$B$41,funder_tier_4)</f>
        <v/>
      </c>
      <c r="F9" s="53">
        <f>SUMIFS(Scenarios!$W$6:$W$41,Scenarios!$A$6:$A$41,cbo_tier_4,Scenarios!$B$6:$B$41,funder_tier_5)</f>
        <v/>
      </c>
      <c r="G9" s="53">
        <f>SUMIFS(Scenarios!$W$6:$W$41,Scenarios!$A$6:$A$41,cbo_tier_4,Scenarios!$B$6:$B$41,funder_tier_6)</f>
        <v/>
      </c>
    </row>
    <row r="10" ht="24" customHeight="1">
      <c r="A10" s="20">
        <f>cbo_tier_5</f>
        <v/>
      </c>
      <c r="B10" s="53">
        <f>SUMIFS(Scenarios!$W$6:$W$41,Scenarios!$A$6:$A$41,cbo_tier_5,Scenarios!$B$6:$B$41,funder_tier_1)</f>
        <v/>
      </c>
      <c r="C10" s="53">
        <f>SUMIFS(Scenarios!$W$6:$W$41,Scenarios!$A$6:$A$41,cbo_tier_5,Scenarios!$B$6:$B$41,funder_tier_2)</f>
        <v/>
      </c>
      <c r="D10" s="53">
        <f>SUMIFS(Scenarios!$W$6:$W$41,Scenarios!$A$6:$A$41,cbo_tier_5,Scenarios!$B$6:$B$41,funder_tier_3)</f>
        <v/>
      </c>
      <c r="E10" s="53">
        <f>SUMIFS(Scenarios!$W$6:$W$41,Scenarios!$A$6:$A$41,cbo_tier_5,Scenarios!$B$6:$B$41,funder_tier_4)</f>
        <v/>
      </c>
      <c r="F10" s="53">
        <f>SUMIFS(Scenarios!$W$6:$W$41,Scenarios!$A$6:$A$41,cbo_tier_5,Scenarios!$B$6:$B$41,funder_tier_5)</f>
        <v/>
      </c>
      <c r="G10" s="53">
        <f>SUMIFS(Scenarios!$W$6:$W$41,Scenarios!$A$6:$A$41,cbo_tier_5,Scenarios!$B$6:$B$41,funder_tier_6)</f>
        <v/>
      </c>
    </row>
    <row r="11" ht="24" customHeight="1">
      <c r="A11" s="20">
        <f>cbo_tier_6</f>
        <v/>
      </c>
      <c r="B11" s="53">
        <f>SUMIFS(Scenarios!$W$6:$W$41,Scenarios!$A$6:$A$41,cbo_tier_6,Scenarios!$B$6:$B$41,funder_tier_1)</f>
        <v/>
      </c>
      <c r="C11" s="53">
        <f>SUMIFS(Scenarios!$W$6:$W$41,Scenarios!$A$6:$A$41,cbo_tier_6,Scenarios!$B$6:$B$41,funder_tier_2)</f>
        <v/>
      </c>
      <c r="D11" s="53">
        <f>SUMIFS(Scenarios!$W$6:$W$41,Scenarios!$A$6:$A$41,cbo_tier_6,Scenarios!$B$6:$B$41,funder_tier_3)</f>
        <v/>
      </c>
      <c r="E11" s="53">
        <f>SUMIFS(Scenarios!$W$6:$W$41,Scenarios!$A$6:$A$41,cbo_tier_6,Scenarios!$B$6:$B$41,funder_tier_4)</f>
        <v/>
      </c>
      <c r="F11" s="53">
        <f>SUMIFS(Scenarios!$W$6:$W$41,Scenarios!$A$6:$A$41,cbo_tier_6,Scenarios!$B$6:$B$41,funder_tier_5)</f>
        <v/>
      </c>
      <c r="G11" s="53">
        <f>SUMIFS(Scenarios!$W$6:$W$41,Scenarios!$A$6:$A$41,cbo_tier_6,Scenarios!$B$6:$B$41,funder_tier_6)</f>
        <v/>
      </c>
    </row>
    <row r="13">
      <c r="A13" s="3" t="inlineStr">
        <is>
          <t>Annual cost per active CBO</t>
        </is>
      </c>
    </row>
    <row r="14" ht="32" customHeight="1">
      <c r="A14" s="2" t="inlineStr">
        <is>
          <t>The cost per organization falls as the fixed database bill is spread out, then levels off near the SMS cost. More funders barely change the cost per CBO until they force a larger database.</t>
        </is>
      </c>
    </row>
    <row r="16">
      <c r="A16" s="18" t="inlineStr">
        <is>
          <t>Active funders →</t>
        </is>
      </c>
      <c r="B16" s="19">
        <f>funder_tier_1</f>
        <v/>
      </c>
      <c r="C16" s="19">
        <f>funder_tier_2</f>
        <v/>
      </c>
      <c r="D16" s="19">
        <f>funder_tier_3</f>
        <v/>
      </c>
      <c r="E16" s="19">
        <f>funder_tier_4</f>
        <v/>
      </c>
      <c r="F16" s="19">
        <f>funder_tier_5</f>
        <v/>
      </c>
      <c r="G16" s="19">
        <f>funder_tier_6</f>
        <v/>
      </c>
    </row>
    <row r="17" ht="22" customHeight="1">
      <c r="A17" s="20">
        <f>cbo_tier_1</f>
        <v/>
      </c>
      <c r="B17" s="16">
        <f>IF(A17=0,NA(),B6/A17)</f>
        <v/>
      </c>
      <c r="C17" s="16">
        <f>IF(A17=0,NA(),C6/A17)</f>
        <v/>
      </c>
      <c r="D17" s="16">
        <f>IF(A17=0,NA(),D6/A17)</f>
        <v/>
      </c>
      <c r="E17" s="16">
        <f>IF(A17=0,NA(),E6/A17)</f>
        <v/>
      </c>
      <c r="F17" s="16">
        <f>IF(A17=0,NA(),F6/A17)</f>
        <v/>
      </c>
      <c r="G17" s="16">
        <f>IF(A17=0,NA(),G6/A17)</f>
        <v/>
      </c>
    </row>
    <row r="18" ht="22" customHeight="1">
      <c r="A18" s="20">
        <f>cbo_tier_2</f>
        <v/>
      </c>
      <c r="B18" s="16">
        <f>IF(A18=0,NA(),B7/A18)</f>
        <v/>
      </c>
      <c r="C18" s="16">
        <f>IF(A18=0,NA(),C7/A18)</f>
        <v/>
      </c>
      <c r="D18" s="16">
        <f>IF(A18=0,NA(),D7/A18)</f>
        <v/>
      </c>
      <c r="E18" s="16">
        <f>IF(A18=0,NA(),E7/A18)</f>
        <v/>
      </c>
      <c r="F18" s="16">
        <f>IF(A18=0,NA(),F7/A18)</f>
        <v/>
      </c>
      <c r="G18" s="16">
        <f>IF(A18=0,NA(),G7/A18)</f>
        <v/>
      </c>
    </row>
    <row r="19" ht="22" customHeight="1">
      <c r="A19" s="20">
        <f>cbo_tier_3</f>
        <v/>
      </c>
      <c r="B19" s="16">
        <f>IF(A19=0,NA(),B8/A19)</f>
        <v/>
      </c>
      <c r="C19" s="16">
        <f>IF(A19=0,NA(),C8/A19)</f>
        <v/>
      </c>
      <c r="D19" s="16">
        <f>IF(A19=0,NA(),D8/A19)</f>
        <v/>
      </c>
      <c r="E19" s="16">
        <f>IF(A19=0,NA(),E8/A19)</f>
        <v/>
      </c>
      <c r="F19" s="16">
        <f>IF(A19=0,NA(),F8/A19)</f>
        <v/>
      </c>
      <c r="G19" s="16">
        <f>IF(A19=0,NA(),G8/A19)</f>
        <v/>
      </c>
    </row>
    <row r="20" ht="22" customHeight="1">
      <c r="A20" s="20">
        <f>cbo_tier_4</f>
        <v/>
      </c>
      <c r="B20" s="16">
        <f>IF(A20=0,NA(),B9/A20)</f>
        <v/>
      </c>
      <c r="C20" s="16">
        <f>IF(A20=0,NA(),C9/A20)</f>
        <v/>
      </c>
      <c r="D20" s="16">
        <f>IF(A20=0,NA(),D9/A20)</f>
        <v/>
      </c>
      <c r="E20" s="16">
        <f>IF(A20=0,NA(),E9/A20)</f>
        <v/>
      </c>
      <c r="F20" s="16">
        <f>IF(A20=0,NA(),F9/A20)</f>
        <v/>
      </c>
      <c r="G20" s="16">
        <f>IF(A20=0,NA(),G9/A20)</f>
        <v/>
      </c>
    </row>
    <row r="21" ht="22" customHeight="1">
      <c r="A21" s="20">
        <f>cbo_tier_5</f>
        <v/>
      </c>
      <c r="B21" s="16">
        <f>IF(A21=0,NA(),B10/A21)</f>
        <v/>
      </c>
      <c r="C21" s="16">
        <f>IF(A21=0,NA(),C10/A21)</f>
        <v/>
      </c>
      <c r="D21" s="16">
        <f>IF(A21=0,NA(),D10/A21)</f>
        <v/>
      </c>
      <c r="E21" s="16">
        <f>IF(A21=0,NA(),E10/A21)</f>
        <v/>
      </c>
      <c r="F21" s="16">
        <f>IF(A21=0,NA(),F10/A21)</f>
        <v/>
      </c>
      <c r="G21" s="16">
        <f>IF(A21=0,NA(),G10/A21)</f>
        <v/>
      </c>
    </row>
    <row r="22" ht="22" customHeight="1">
      <c r="A22" s="20">
        <f>cbo_tier_6</f>
        <v/>
      </c>
      <c r="B22" s="16">
        <f>IF(A22=0,NA(),B11/A22)</f>
        <v/>
      </c>
      <c r="C22" s="16">
        <f>IF(A22=0,NA(),C11/A22)</f>
        <v/>
      </c>
      <c r="D22" s="16">
        <f>IF(A22=0,NA(),D11/A22)</f>
        <v/>
      </c>
      <c r="E22" s="16">
        <f>IF(A22=0,NA(),E11/A22)</f>
        <v/>
      </c>
      <c r="F22" s="16">
        <f>IF(A22=0,NA(),F11/A22)</f>
        <v/>
      </c>
      <c r="G22" s="16">
        <f>IF(A22=0,NA(),G11/A22)</f>
        <v/>
      </c>
    </row>
  </sheetData>
  <mergeCells count="2">
    <mergeCell ref="A14:G14"/>
    <mergeCell ref="A2:G2"/>
  </mergeCells>
  <conditionalFormatting sqref="B6:G11">
    <cfRule type="colorScale" priority="1">
      <colorScale>
        <cfvo type="min"/>
        <cfvo type="percentile" val="50"/>
        <cfvo type="max"/>
        <color rgb="00E7F3F1"/>
        <color rgb="00F6E7C1"/>
        <color rgb="00E39B88"/>
      </colorScale>
    </cfRule>
  </conditionalFormatting>
  <conditionalFormatting sqref="B17:G22">
    <cfRule type="colorScale" priority="2">
      <colorScale>
        <cfvo type="min"/>
        <cfvo type="percentile" val="50"/>
        <cfvo type="max"/>
        <color rgb="00E7F3F1"/>
        <color rgb="00F6E7C1"/>
        <color rgb="00E39B88"/>
      </colorScale>
    </cfRule>
  </conditionalFormatting>
  <pageMargins left="0.5" right="0.5" top="0.7" bottom="0.6" header="0.5" footer="0.5"/>
  <pageSetup orientation="landscape" paperSize="3" fitToHeight="1" fitToWidth="1"/>
  <headerFooter>
    <oddHeader>&amp;LKumbu Connect  ·  production cost model</oddHeader>
    <oddFooter>&amp;LPlanning estimates from public list prices. Not an invoice.&amp;RPage &amp;P</oddFooter>
    <evenHeader/>
    <evenFooter/>
    <firstHeader/>
    <firstFooter/>
  </headerFooter>
</worksheet>
</file>

<file path=xl/worksheets/sheet7.xml><?xml version="1.0" encoding="utf-8"?>
<worksheet xmlns="http://schemas.openxmlformats.org/spreadsheetml/2006/main">
  <sheetPr>
    <tabColor rgb="00C47B2B"/>
    <outlinePr summaryBelow="1" summaryRight="1"/>
    <pageSetUpPr fitToPage="1"/>
  </sheetPr>
  <dimension ref="A1:N35"/>
  <sheetViews>
    <sheetView showGridLines="0" zoomScale="11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8" customWidth="1" min="6" max="6"/>
    <col width="16" customWidth="1" min="7" max="7"/>
    <col width="16" customWidth="1" min="8" max="8"/>
    <col width="16" customWidth="1" min="9" max="9"/>
    <col width="18" customWidth="1" min="10" max="10"/>
    <col width="16" customWidth="1" min="11" max="11"/>
    <col width="18" customWidth="1" min="12" max="12"/>
    <col width="20" customWidth="1" min="13" max="13"/>
    <col width="18" customWidth="1" min="14" max="14"/>
  </cols>
  <sheetData>
    <row r="1">
      <c r="A1" s="1" t="inlineStr">
        <is>
          <t>Matched growth</t>
        </is>
      </c>
    </row>
    <row r="2" ht="22" customHeight="1">
      <c r="A2" s="2" t="inlineStr">
        <is>
          <t>Both sides grow together: 10 funders with 10 CBOs, then 25 with 25, and so on. This is the simplest reading of the full grid.</t>
        </is>
      </c>
    </row>
    <row r="4" ht="36" customHeight="1">
      <c r="A4" s="7" t="inlineStr">
        <is>
          <t>Active on each side</t>
        </is>
      </c>
      <c r="B4" s="7" t="inlineStr">
        <is>
          <t>Database</t>
        </is>
      </c>
      <c r="C4" s="7" t="inlineStr">
        <is>
          <t>Rest of hosting</t>
        </is>
      </c>
      <c r="D4" s="7" t="inlineStr">
        <is>
          <t>SMS</t>
        </is>
      </c>
      <c r="E4" s="7" t="inlineStr">
        <is>
          <t>Documents</t>
        </is>
      </c>
      <c r="F4" s="7" t="inlineStr">
        <is>
          <t>Funder tools and research</t>
        </is>
      </c>
      <c r="G4" s="7" t="inlineStr">
        <is>
          <t>Monthly total</t>
        </is>
      </c>
      <c r="H4" s="7" t="inlineStr">
        <is>
          <t>Annual total</t>
        </is>
      </c>
      <c r="I4" s="7" t="inlineStr">
        <is>
          <t>Per CBO</t>
        </is>
      </c>
      <c r="J4" s="7" t="inlineStr">
        <is>
          <t>SMS share</t>
        </is>
      </c>
      <c r="K4" s="7" t="inlineStr">
        <is>
          <t>Increase from prior tier</t>
        </is>
      </c>
      <c r="L4" s="7" t="inlineStr">
        <is>
          <t>Map loads</t>
        </is>
      </c>
      <c r="M4" s="7" t="inlineStr">
        <is>
          <t>Search queries</t>
        </is>
      </c>
      <c r="N4" s="7" t="inlineStr">
        <is>
          <t>vCPU-seconds used</t>
        </is>
      </c>
    </row>
    <row r="5" ht="22" customHeight="1">
      <c r="A5" s="8">
        <f>cbo_tier_1</f>
        <v/>
      </c>
      <c r="B5" s="11">
        <f>SUMIFS(Scenarios!$C$6:$C$41,Scenarios!$A$6:$A$41,cbo_tier_1,Scenarios!$B$6:$B$41,cbo_tier_1)</f>
        <v/>
      </c>
      <c r="C5" s="11">
        <f>(SUMIFS(Scenarios!$D$6:$D$41,Scenarios!$A$6:$A$41,cbo_tier_1,Scenarios!$B$6:$B$41,cbo_tier_1))+(SUMIFS(Scenarios!$E$6:$E$41,Scenarios!$A$6:$A$41,cbo_tier_1,Scenarios!$B$6:$B$41,cbo_tier_1))+(SUMIFS(Scenarios!$F$6:$F$41,Scenarios!$A$6:$A$41,cbo_tier_1,Scenarios!$B$6:$B$41,cbo_tier_1))+(SUMIFS(Scenarios!$G$6:$G$41,Scenarios!$A$6:$A$41,cbo_tier_1,Scenarios!$B$6:$B$41,cbo_tier_1))+(SUMIFS(Scenarios!$H$6:$H$41,Scenarios!$A$6:$A$41,cbo_tier_1,Scenarios!$B$6:$B$41,cbo_tier_1))</f>
        <v/>
      </c>
      <c r="D5" s="11">
        <f>(SUMIFS(Scenarios!$I$6:$I$41,Scenarios!$A$6:$A$41,cbo_tier_1,Scenarios!$B$6:$B$41,cbo_tier_1))+(SUMIFS(Scenarios!$J$6:$J$41,Scenarios!$A$6:$A$41,cbo_tier_1,Scenarios!$B$6:$B$41,cbo_tier_1))</f>
        <v/>
      </c>
      <c r="E5" s="11">
        <f>(SUMIFS(Scenarios!$K$6:$K$41,Scenarios!$A$6:$A$41,cbo_tier_1,Scenarios!$B$6:$B$41,cbo_tier_1))+(SUMIFS(Scenarios!$L$6:$L$41,Scenarios!$A$6:$A$41,cbo_tier_1,Scenarios!$B$6:$B$41,cbo_tier_1))</f>
        <v/>
      </c>
      <c r="F5" s="11">
        <f>(SUMIFS(Scenarios!$M$6:$M$41,Scenarios!$A$6:$A$41,cbo_tier_1,Scenarios!$B$6:$B$41,cbo_tier_1))+(SUMIFS(Scenarios!$N$6:$N$41,Scenarios!$A$6:$A$41,cbo_tier_1,Scenarios!$B$6:$B$41,cbo_tier_1))+(SUMIFS(Scenarios!$O$6:$O$41,Scenarios!$A$6:$A$41,cbo_tier_1,Scenarios!$B$6:$B$41,cbo_tier_1))+(SUMIFS(Scenarios!$P$6:$P$41,Scenarios!$A$6:$A$41,cbo_tier_1,Scenarios!$B$6:$B$41,cbo_tier_1))+(SUMIFS(Scenarios!$Q$6:$Q$41,Scenarios!$A$6:$A$41,cbo_tier_1,Scenarios!$B$6:$B$41,cbo_tier_1))+(SUMIFS(Scenarios!$R$6:$R$41,Scenarios!$A$6:$A$41,cbo_tier_1,Scenarios!$B$6:$B$41,cbo_tier_1))+(SUMIFS(Scenarios!$S$6:$S$41,Scenarios!$A$6:$A$41,cbo_tier_1,Scenarios!$B$6:$B$41,cbo_tier_1))+(SUMIFS(Scenarios!$T$6:$T$41,Scenarios!$A$6:$A$41,cbo_tier_1,Scenarios!$B$6:$B$41,cbo_tier_1))+(SUMIFS(Scenarios!$U$6:$U$41,Scenarios!$A$6:$A$41,cbo_tier_1,Scenarios!$B$6:$B$41,cbo_tier_1))</f>
        <v/>
      </c>
      <c r="G5" s="9">
        <f>SUM(B5:F5)</f>
        <v/>
      </c>
      <c r="H5" s="10">
        <f>G5*12</f>
        <v/>
      </c>
      <c r="I5" s="11">
        <f>IF(A5=0,NA(),G5/A5)</f>
        <v/>
      </c>
      <c r="J5" s="12">
        <f>IF(G5=0,0,D5/G5)</f>
        <v/>
      </c>
      <c r="K5" s="54" t="inlineStr">
        <is>
          <t>—</t>
        </is>
      </c>
      <c r="L5" s="8" t="inlineStr">
        <is>
          <t>SUMIFS(Scenarios!$AA$6:$AA$41,Scenarios!$A$6:$A$41,cbo_tier_1,Scenarios!$B$6:$B$41,cbo_tier_1)</t>
        </is>
      </c>
      <c r="M5" s="8" t="inlineStr">
        <is>
          <t>SUMIFS(Scenarios!$AB$6:$AB$41,Scenarios!$A$6:$A$41,cbo_tier_1,Scenarios!$B$6:$B$41,cbo_tier_1)</t>
        </is>
      </c>
      <c r="N5" s="8" t="inlineStr">
        <is>
          <t>SUMIFS(Scenarios!$AC$6:$AC$41,Scenarios!$A$6:$A$41,cbo_tier_1,Scenarios!$B$6:$B$41,cbo_tier_1)</t>
        </is>
      </c>
    </row>
    <row r="6" ht="22" customHeight="1">
      <c r="A6" s="13">
        <f>cbo_tier_2</f>
        <v/>
      </c>
      <c r="B6" s="16">
        <f>SUMIFS(Scenarios!$C$6:$C$41,Scenarios!$A$6:$A$41,cbo_tier_2,Scenarios!$B$6:$B$41,cbo_tier_2)</f>
        <v/>
      </c>
      <c r="C6" s="16">
        <f>(SUMIFS(Scenarios!$D$6:$D$41,Scenarios!$A$6:$A$41,cbo_tier_2,Scenarios!$B$6:$B$41,cbo_tier_2))+(SUMIFS(Scenarios!$E$6:$E$41,Scenarios!$A$6:$A$41,cbo_tier_2,Scenarios!$B$6:$B$41,cbo_tier_2))+(SUMIFS(Scenarios!$F$6:$F$41,Scenarios!$A$6:$A$41,cbo_tier_2,Scenarios!$B$6:$B$41,cbo_tier_2))+(SUMIFS(Scenarios!$G$6:$G$41,Scenarios!$A$6:$A$41,cbo_tier_2,Scenarios!$B$6:$B$41,cbo_tier_2))+(SUMIFS(Scenarios!$H$6:$H$41,Scenarios!$A$6:$A$41,cbo_tier_2,Scenarios!$B$6:$B$41,cbo_tier_2))</f>
        <v/>
      </c>
      <c r="D6" s="16">
        <f>(SUMIFS(Scenarios!$I$6:$I$41,Scenarios!$A$6:$A$41,cbo_tier_2,Scenarios!$B$6:$B$41,cbo_tier_2))+(SUMIFS(Scenarios!$J$6:$J$41,Scenarios!$A$6:$A$41,cbo_tier_2,Scenarios!$B$6:$B$41,cbo_tier_2))</f>
        <v/>
      </c>
      <c r="E6" s="16">
        <f>(SUMIFS(Scenarios!$K$6:$K$41,Scenarios!$A$6:$A$41,cbo_tier_2,Scenarios!$B$6:$B$41,cbo_tier_2))+(SUMIFS(Scenarios!$L$6:$L$41,Scenarios!$A$6:$A$41,cbo_tier_2,Scenarios!$B$6:$B$41,cbo_tier_2))</f>
        <v/>
      </c>
      <c r="F6" s="16">
        <f>(SUMIFS(Scenarios!$M$6:$M$41,Scenarios!$A$6:$A$41,cbo_tier_2,Scenarios!$B$6:$B$41,cbo_tier_2))+(SUMIFS(Scenarios!$N$6:$N$41,Scenarios!$A$6:$A$41,cbo_tier_2,Scenarios!$B$6:$B$41,cbo_tier_2))+(SUMIFS(Scenarios!$O$6:$O$41,Scenarios!$A$6:$A$41,cbo_tier_2,Scenarios!$B$6:$B$41,cbo_tier_2))+(SUMIFS(Scenarios!$P$6:$P$41,Scenarios!$A$6:$A$41,cbo_tier_2,Scenarios!$B$6:$B$41,cbo_tier_2))+(SUMIFS(Scenarios!$Q$6:$Q$41,Scenarios!$A$6:$A$41,cbo_tier_2,Scenarios!$B$6:$B$41,cbo_tier_2))+(SUMIFS(Scenarios!$R$6:$R$41,Scenarios!$A$6:$A$41,cbo_tier_2,Scenarios!$B$6:$B$41,cbo_tier_2))+(SUMIFS(Scenarios!$S$6:$S$41,Scenarios!$A$6:$A$41,cbo_tier_2,Scenarios!$B$6:$B$41,cbo_tier_2))+(SUMIFS(Scenarios!$T$6:$T$41,Scenarios!$A$6:$A$41,cbo_tier_2,Scenarios!$B$6:$B$41,cbo_tier_2))+(SUMIFS(Scenarios!$U$6:$U$41,Scenarios!$A$6:$A$41,cbo_tier_2,Scenarios!$B$6:$B$41,cbo_tier_2))</f>
        <v/>
      </c>
      <c r="G6" s="14">
        <f>SUM(B6:F6)</f>
        <v/>
      </c>
      <c r="H6" s="15">
        <f>G6*12</f>
        <v/>
      </c>
      <c r="I6" s="16">
        <f>IF(A6=0,NA(),G6/A6)</f>
        <v/>
      </c>
      <c r="J6" s="17">
        <f>IF(G6=0,0,D6/G6)</f>
        <v/>
      </c>
      <c r="K6" s="16">
        <f>G6-G5</f>
        <v/>
      </c>
      <c r="L6" s="13" t="inlineStr">
        <is>
          <t>SUMIFS(Scenarios!$AA$6:$AA$41,Scenarios!$A$6:$A$41,cbo_tier_2,Scenarios!$B$6:$B$41,cbo_tier_2)</t>
        </is>
      </c>
      <c r="M6" s="13" t="inlineStr">
        <is>
          <t>SUMIFS(Scenarios!$AB$6:$AB$41,Scenarios!$A$6:$A$41,cbo_tier_2,Scenarios!$B$6:$B$41,cbo_tier_2)</t>
        </is>
      </c>
      <c r="N6" s="13" t="inlineStr">
        <is>
          <t>SUMIFS(Scenarios!$AC$6:$AC$41,Scenarios!$A$6:$A$41,cbo_tier_2,Scenarios!$B$6:$B$41,cbo_tier_2)</t>
        </is>
      </c>
    </row>
    <row r="7" ht="22" customHeight="1">
      <c r="A7" s="8">
        <f>cbo_tier_3</f>
        <v/>
      </c>
      <c r="B7" s="11">
        <f>SUMIFS(Scenarios!$C$6:$C$41,Scenarios!$A$6:$A$41,cbo_tier_3,Scenarios!$B$6:$B$41,cbo_tier_3)</f>
        <v/>
      </c>
      <c r="C7" s="11">
        <f>(SUMIFS(Scenarios!$D$6:$D$41,Scenarios!$A$6:$A$41,cbo_tier_3,Scenarios!$B$6:$B$41,cbo_tier_3))+(SUMIFS(Scenarios!$E$6:$E$41,Scenarios!$A$6:$A$41,cbo_tier_3,Scenarios!$B$6:$B$41,cbo_tier_3))+(SUMIFS(Scenarios!$F$6:$F$41,Scenarios!$A$6:$A$41,cbo_tier_3,Scenarios!$B$6:$B$41,cbo_tier_3))+(SUMIFS(Scenarios!$G$6:$G$41,Scenarios!$A$6:$A$41,cbo_tier_3,Scenarios!$B$6:$B$41,cbo_tier_3))+(SUMIFS(Scenarios!$H$6:$H$41,Scenarios!$A$6:$A$41,cbo_tier_3,Scenarios!$B$6:$B$41,cbo_tier_3))</f>
        <v/>
      </c>
      <c r="D7" s="11">
        <f>(SUMIFS(Scenarios!$I$6:$I$41,Scenarios!$A$6:$A$41,cbo_tier_3,Scenarios!$B$6:$B$41,cbo_tier_3))+(SUMIFS(Scenarios!$J$6:$J$41,Scenarios!$A$6:$A$41,cbo_tier_3,Scenarios!$B$6:$B$41,cbo_tier_3))</f>
        <v/>
      </c>
      <c r="E7" s="11">
        <f>(SUMIFS(Scenarios!$K$6:$K$41,Scenarios!$A$6:$A$41,cbo_tier_3,Scenarios!$B$6:$B$41,cbo_tier_3))+(SUMIFS(Scenarios!$L$6:$L$41,Scenarios!$A$6:$A$41,cbo_tier_3,Scenarios!$B$6:$B$41,cbo_tier_3))</f>
        <v/>
      </c>
      <c r="F7" s="11">
        <f>(SUMIFS(Scenarios!$M$6:$M$41,Scenarios!$A$6:$A$41,cbo_tier_3,Scenarios!$B$6:$B$41,cbo_tier_3))+(SUMIFS(Scenarios!$N$6:$N$41,Scenarios!$A$6:$A$41,cbo_tier_3,Scenarios!$B$6:$B$41,cbo_tier_3))+(SUMIFS(Scenarios!$O$6:$O$41,Scenarios!$A$6:$A$41,cbo_tier_3,Scenarios!$B$6:$B$41,cbo_tier_3))+(SUMIFS(Scenarios!$P$6:$P$41,Scenarios!$A$6:$A$41,cbo_tier_3,Scenarios!$B$6:$B$41,cbo_tier_3))+(SUMIFS(Scenarios!$Q$6:$Q$41,Scenarios!$A$6:$A$41,cbo_tier_3,Scenarios!$B$6:$B$41,cbo_tier_3))+(SUMIFS(Scenarios!$R$6:$R$41,Scenarios!$A$6:$A$41,cbo_tier_3,Scenarios!$B$6:$B$41,cbo_tier_3))+(SUMIFS(Scenarios!$S$6:$S$41,Scenarios!$A$6:$A$41,cbo_tier_3,Scenarios!$B$6:$B$41,cbo_tier_3))+(SUMIFS(Scenarios!$T$6:$T$41,Scenarios!$A$6:$A$41,cbo_tier_3,Scenarios!$B$6:$B$41,cbo_tier_3))+(SUMIFS(Scenarios!$U$6:$U$41,Scenarios!$A$6:$A$41,cbo_tier_3,Scenarios!$B$6:$B$41,cbo_tier_3))</f>
        <v/>
      </c>
      <c r="G7" s="9">
        <f>SUM(B7:F7)</f>
        <v/>
      </c>
      <c r="H7" s="10">
        <f>G7*12</f>
        <v/>
      </c>
      <c r="I7" s="11">
        <f>IF(A7=0,NA(),G7/A7)</f>
        <v/>
      </c>
      <c r="J7" s="12">
        <f>IF(G7=0,0,D7/G7)</f>
        <v/>
      </c>
      <c r="K7" s="11">
        <f>G7-G6</f>
        <v/>
      </c>
      <c r="L7" s="8" t="inlineStr">
        <is>
          <t>SUMIFS(Scenarios!$AA$6:$AA$41,Scenarios!$A$6:$A$41,cbo_tier_3,Scenarios!$B$6:$B$41,cbo_tier_3)</t>
        </is>
      </c>
      <c r="M7" s="8" t="inlineStr">
        <is>
          <t>SUMIFS(Scenarios!$AB$6:$AB$41,Scenarios!$A$6:$A$41,cbo_tier_3,Scenarios!$B$6:$B$41,cbo_tier_3)</t>
        </is>
      </c>
      <c r="N7" s="8" t="inlineStr">
        <is>
          <t>SUMIFS(Scenarios!$AC$6:$AC$41,Scenarios!$A$6:$A$41,cbo_tier_3,Scenarios!$B$6:$B$41,cbo_tier_3)</t>
        </is>
      </c>
    </row>
    <row r="8" ht="22" customHeight="1">
      <c r="A8" s="13">
        <f>cbo_tier_4</f>
        <v/>
      </c>
      <c r="B8" s="16">
        <f>SUMIFS(Scenarios!$C$6:$C$41,Scenarios!$A$6:$A$41,cbo_tier_4,Scenarios!$B$6:$B$41,cbo_tier_4)</f>
        <v/>
      </c>
      <c r="C8" s="16">
        <f>(SUMIFS(Scenarios!$D$6:$D$41,Scenarios!$A$6:$A$41,cbo_tier_4,Scenarios!$B$6:$B$41,cbo_tier_4))+(SUMIFS(Scenarios!$E$6:$E$41,Scenarios!$A$6:$A$41,cbo_tier_4,Scenarios!$B$6:$B$41,cbo_tier_4))+(SUMIFS(Scenarios!$F$6:$F$41,Scenarios!$A$6:$A$41,cbo_tier_4,Scenarios!$B$6:$B$41,cbo_tier_4))+(SUMIFS(Scenarios!$G$6:$G$41,Scenarios!$A$6:$A$41,cbo_tier_4,Scenarios!$B$6:$B$41,cbo_tier_4))+(SUMIFS(Scenarios!$H$6:$H$41,Scenarios!$A$6:$A$41,cbo_tier_4,Scenarios!$B$6:$B$41,cbo_tier_4))</f>
        <v/>
      </c>
      <c r="D8" s="16">
        <f>(SUMIFS(Scenarios!$I$6:$I$41,Scenarios!$A$6:$A$41,cbo_tier_4,Scenarios!$B$6:$B$41,cbo_tier_4))+(SUMIFS(Scenarios!$J$6:$J$41,Scenarios!$A$6:$A$41,cbo_tier_4,Scenarios!$B$6:$B$41,cbo_tier_4))</f>
        <v/>
      </c>
      <c r="E8" s="16">
        <f>(SUMIFS(Scenarios!$K$6:$K$41,Scenarios!$A$6:$A$41,cbo_tier_4,Scenarios!$B$6:$B$41,cbo_tier_4))+(SUMIFS(Scenarios!$L$6:$L$41,Scenarios!$A$6:$A$41,cbo_tier_4,Scenarios!$B$6:$B$41,cbo_tier_4))</f>
        <v/>
      </c>
      <c r="F8" s="16">
        <f>(SUMIFS(Scenarios!$M$6:$M$41,Scenarios!$A$6:$A$41,cbo_tier_4,Scenarios!$B$6:$B$41,cbo_tier_4))+(SUMIFS(Scenarios!$N$6:$N$41,Scenarios!$A$6:$A$41,cbo_tier_4,Scenarios!$B$6:$B$41,cbo_tier_4))+(SUMIFS(Scenarios!$O$6:$O$41,Scenarios!$A$6:$A$41,cbo_tier_4,Scenarios!$B$6:$B$41,cbo_tier_4))+(SUMIFS(Scenarios!$P$6:$P$41,Scenarios!$A$6:$A$41,cbo_tier_4,Scenarios!$B$6:$B$41,cbo_tier_4))+(SUMIFS(Scenarios!$Q$6:$Q$41,Scenarios!$A$6:$A$41,cbo_tier_4,Scenarios!$B$6:$B$41,cbo_tier_4))+(SUMIFS(Scenarios!$R$6:$R$41,Scenarios!$A$6:$A$41,cbo_tier_4,Scenarios!$B$6:$B$41,cbo_tier_4))+(SUMIFS(Scenarios!$S$6:$S$41,Scenarios!$A$6:$A$41,cbo_tier_4,Scenarios!$B$6:$B$41,cbo_tier_4))+(SUMIFS(Scenarios!$T$6:$T$41,Scenarios!$A$6:$A$41,cbo_tier_4,Scenarios!$B$6:$B$41,cbo_tier_4))+(SUMIFS(Scenarios!$U$6:$U$41,Scenarios!$A$6:$A$41,cbo_tier_4,Scenarios!$B$6:$B$41,cbo_tier_4))</f>
        <v/>
      </c>
      <c r="G8" s="14">
        <f>SUM(B8:F8)</f>
        <v/>
      </c>
      <c r="H8" s="15">
        <f>G8*12</f>
        <v/>
      </c>
      <c r="I8" s="16">
        <f>IF(A8=0,NA(),G8/A8)</f>
        <v/>
      </c>
      <c r="J8" s="17">
        <f>IF(G8=0,0,D8/G8)</f>
        <v/>
      </c>
      <c r="K8" s="16">
        <f>G8-G7</f>
        <v/>
      </c>
      <c r="L8" s="13" t="inlineStr">
        <is>
          <t>SUMIFS(Scenarios!$AA$6:$AA$41,Scenarios!$A$6:$A$41,cbo_tier_4,Scenarios!$B$6:$B$41,cbo_tier_4)</t>
        </is>
      </c>
      <c r="M8" s="13" t="inlineStr">
        <is>
          <t>SUMIFS(Scenarios!$AB$6:$AB$41,Scenarios!$A$6:$A$41,cbo_tier_4,Scenarios!$B$6:$B$41,cbo_tier_4)</t>
        </is>
      </c>
      <c r="N8" s="13" t="inlineStr">
        <is>
          <t>SUMIFS(Scenarios!$AC$6:$AC$41,Scenarios!$A$6:$A$41,cbo_tier_4,Scenarios!$B$6:$B$41,cbo_tier_4)</t>
        </is>
      </c>
    </row>
    <row r="9" ht="22" customHeight="1">
      <c r="A9" s="8">
        <f>cbo_tier_5</f>
        <v/>
      </c>
      <c r="B9" s="11">
        <f>SUMIFS(Scenarios!$C$6:$C$41,Scenarios!$A$6:$A$41,cbo_tier_5,Scenarios!$B$6:$B$41,cbo_tier_5)</f>
        <v/>
      </c>
      <c r="C9" s="11">
        <f>(SUMIFS(Scenarios!$D$6:$D$41,Scenarios!$A$6:$A$41,cbo_tier_5,Scenarios!$B$6:$B$41,cbo_tier_5))+(SUMIFS(Scenarios!$E$6:$E$41,Scenarios!$A$6:$A$41,cbo_tier_5,Scenarios!$B$6:$B$41,cbo_tier_5))+(SUMIFS(Scenarios!$F$6:$F$41,Scenarios!$A$6:$A$41,cbo_tier_5,Scenarios!$B$6:$B$41,cbo_tier_5))+(SUMIFS(Scenarios!$G$6:$G$41,Scenarios!$A$6:$A$41,cbo_tier_5,Scenarios!$B$6:$B$41,cbo_tier_5))+(SUMIFS(Scenarios!$H$6:$H$41,Scenarios!$A$6:$A$41,cbo_tier_5,Scenarios!$B$6:$B$41,cbo_tier_5))</f>
        <v/>
      </c>
      <c r="D9" s="11">
        <f>(SUMIFS(Scenarios!$I$6:$I$41,Scenarios!$A$6:$A$41,cbo_tier_5,Scenarios!$B$6:$B$41,cbo_tier_5))+(SUMIFS(Scenarios!$J$6:$J$41,Scenarios!$A$6:$A$41,cbo_tier_5,Scenarios!$B$6:$B$41,cbo_tier_5))</f>
        <v/>
      </c>
      <c r="E9" s="11">
        <f>(SUMIFS(Scenarios!$K$6:$K$41,Scenarios!$A$6:$A$41,cbo_tier_5,Scenarios!$B$6:$B$41,cbo_tier_5))+(SUMIFS(Scenarios!$L$6:$L$41,Scenarios!$A$6:$A$41,cbo_tier_5,Scenarios!$B$6:$B$41,cbo_tier_5))</f>
        <v/>
      </c>
      <c r="F9" s="11">
        <f>(SUMIFS(Scenarios!$M$6:$M$41,Scenarios!$A$6:$A$41,cbo_tier_5,Scenarios!$B$6:$B$41,cbo_tier_5))+(SUMIFS(Scenarios!$N$6:$N$41,Scenarios!$A$6:$A$41,cbo_tier_5,Scenarios!$B$6:$B$41,cbo_tier_5))+(SUMIFS(Scenarios!$O$6:$O$41,Scenarios!$A$6:$A$41,cbo_tier_5,Scenarios!$B$6:$B$41,cbo_tier_5))+(SUMIFS(Scenarios!$P$6:$P$41,Scenarios!$A$6:$A$41,cbo_tier_5,Scenarios!$B$6:$B$41,cbo_tier_5))+(SUMIFS(Scenarios!$Q$6:$Q$41,Scenarios!$A$6:$A$41,cbo_tier_5,Scenarios!$B$6:$B$41,cbo_tier_5))+(SUMIFS(Scenarios!$R$6:$R$41,Scenarios!$A$6:$A$41,cbo_tier_5,Scenarios!$B$6:$B$41,cbo_tier_5))+(SUMIFS(Scenarios!$S$6:$S$41,Scenarios!$A$6:$A$41,cbo_tier_5,Scenarios!$B$6:$B$41,cbo_tier_5))+(SUMIFS(Scenarios!$T$6:$T$41,Scenarios!$A$6:$A$41,cbo_tier_5,Scenarios!$B$6:$B$41,cbo_tier_5))+(SUMIFS(Scenarios!$U$6:$U$41,Scenarios!$A$6:$A$41,cbo_tier_5,Scenarios!$B$6:$B$41,cbo_tier_5))</f>
        <v/>
      </c>
      <c r="G9" s="9">
        <f>SUM(B9:F9)</f>
        <v/>
      </c>
      <c r="H9" s="10">
        <f>G9*12</f>
        <v/>
      </c>
      <c r="I9" s="11">
        <f>IF(A9=0,NA(),G9/A9)</f>
        <v/>
      </c>
      <c r="J9" s="12">
        <f>IF(G9=0,0,D9/G9)</f>
        <v/>
      </c>
      <c r="K9" s="11">
        <f>G9-G8</f>
        <v/>
      </c>
      <c r="L9" s="8" t="inlineStr">
        <is>
          <t>SUMIFS(Scenarios!$AA$6:$AA$41,Scenarios!$A$6:$A$41,cbo_tier_5,Scenarios!$B$6:$B$41,cbo_tier_5)</t>
        </is>
      </c>
      <c r="M9" s="8" t="inlineStr">
        <is>
          <t>SUMIFS(Scenarios!$AB$6:$AB$41,Scenarios!$A$6:$A$41,cbo_tier_5,Scenarios!$B$6:$B$41,cbo_tier_5)</t>
        </is>
      </c>
      <c r="N9" s="8" t="inlineStr">
        <is>
          <t>SUMIFS(Scenarios!$AC$6:$AC$41,Scenarios!$A$6:$A$41,cbo_tier_5,Scenarios!$B$6:$B$41,cbo_tier_5)</t>
        </is>
      </c>
    </row>
    <row r="10" ht="22" customHeight="1">
      <c r="A10" s="13">
        <f>cbo_tier_6</f>
        <v/>
      </c>
      <c r="B10" s="16">
        <f>SUMIFS(Scenarios!$C$6:$C$41,Scenarios!$A$6:$A$41,cbo_tier_6,Scenarios!$B$6:$B$41,cbo_tier_6)</f>
        <v/>
      </c>
      <c r="C10" s="16">
        <f>(SUMIFS(Scenarios!$D$6:$D$41,Scenarios!$A$6:$A$41,cbo_tier_6,Scenarios!$B$6:$B$41,cbo_tier_6))+(SUMIFS(Scenarios!$E$6:$E$41,Scenarios!$A$6:$A$41,cbo_tier_6,Scenarios!$B$6:$B$41,cbo_tier_6))+(SUMIFS(Scenarios!$F$6:$F$41,Scenarios!$A$6:$A$41,cbo_tier_6,Scenarios!$B$6:$B$41,cbo_tier_6))+(SUMIFS(Scenarios!$G$6:$G$41,Scenarios!$A$6:$A$41,cbo_tier_6,Scenarios!$B$6:$B$41,cbo_tier_6))+(SUMIFS(Scenarios!$H$6:$H$41,Scenarios!$A$6:$A$41,cbo_tier_6,Scenarios!$B$6:$B$41,cbo_tier_6))</f>
        <v/>
      </c>
      <c r="D10" s="16">
        <f>(SUMIFS(Scenarios!$I$6:$I$41,Scenarios!$A$6:$A$41,cbo_tier_6,Scenarios!$B$6:$B$41,cbo_tier_6))+(SUMIFS(Scenarios!$J$6:$J$41,Scenarios!$A$6:$A$41,cbo_tier_6,Scenarios!$B$6:$B$41,cbo_tier_6))</f>
        <v/>
      </c>
      <c r="E10" s="16">
        <f>(SUMIFS(Scenarios!$K$6:$K$41,Scenarios!$A$6:$A$41,cbo_tier_6,Scenarios!$B$6:$B$41,cbo_tier_6))+(SUMIFS(Scenarios!$L$6:$L$41,Scenarios!$A$6:$A$41,cbo_tier_6,Scenarios!$B$6:$B$41,cbo_tier_6))</f>
        <v/>
      </c>
      <c r="F10" s="16">
        <f>(SUMIFS(Scenarios!$M$6:$M$41,Scenarios!$A$6:$A$41,cbo_tier_6,Scenarios!$B$6:$B$41,cbo_tier_6))+(SUMIFS(Scenarios!$N$6:$N$41,Scenarios!$A$6:$A$41,cbo_tier_6,Scenarios!$B$6:$B$41,cbo_tier_6))+(SUMIFS(Scenarios!$O$6:$O$41,Scenarios!$A$6:$A$41,cbo_tier_6,Scenarios!$B$6:$B$41,cbo_tier_6))+(SUMIFS(Scenarios!$P$6:$P$41,Scenarios!$A$6:$A$41,cbo_tier_6,Scenarios!$B$6:$B$41,cbo_tier_6))+(SUMIFS(Scenarios!$Q$6:$Q$41,Scenarios!$A$6:$A$41,cbo_tier_6,Scenarios!$B$6:$B$41,cbo_tier_6))+(SUMIFS(Scenarios!$R$6:$R$41,Scenarios!$A$6:$A$41,cbo_tier_6,Scenarios!$B$6:$B$41,cbo_tier_6))+(SUMIFS(Scenarios!$S$6:$S$41,Scenarios!$A$6:$A$41,cbo_tier_6,Scenarios!$B$6:$B$41,cbo_tier_6))+(SUMIFS(Scenarios!$T$6:$T$41,Scenarios!$A$6:$A$41,cbo_tier_6,Scenarios!$B$6:$B$41,cbo_tier_6))+(SUMIFS(Scenarios!$U$6:$U$41,Scenarios!$A$6:$A$41,cbo_tier_6,Scenarios!$B$6:$B$41,cbo_tier_6))</f>
        <v/>
      </c>
      <c r="G10" s="14">
        <f>SUM(B10:F10)</f>
        <v/>
      </c>
      <c r="H10" s="15">
        <f>G10*12</f>
        <v/>
      </c>
      <c r="I10" s="16">
        <f>IF(A10=0,NA(),G10/A10)</f>
        <v/>
      </c>
      <c r="J10" s="17">
        <f>IF(G10=0,0,D10/G10)</f>
        <v/>
      </c>
      <c r="K10" s="16">
        <f>G10-G9</f>
        <v/>
      </c>
      <c r="L10" s="13" t="inlineStr">
        <is>
          <t>SUMIFS(Scenarios!$AA$6:$AA$41,Scenarios!$A$6:$A$41,cbo_tier_6,Scenarios!$B$6:$B$41,cbo_tier_6)</t>
        </is>
      </c>
      <c r="M10" s="13" t="inlineStr">
        <is>
          <t>SUMIFS(Scenarios!$AB$6:$AB$41,Scenarios!$A$6:$A$41,cbo_tier_6,Scenarios!$B$6:$B$41,cbo_tier_6)</t>
        </is>
      </c>
      <c r="N10" s="13" t="inlineStr">
        <is>
          <t>SUMIFS(Scenarios!$AC$6:$AC$41,Scenarios!$A$6:$A$41,cbo_tier_6,Scenarios!$B$6:$B$41,cbo_tier_6)</t>
        </is>
      </c>
    </row>
    <row r="32">
      <c r="A32" s="3" t="inlineStr">
        <is>
          <t>How to read the steps</t>
        </is>
      </c>
    </row>
    <row r="33" ht="22" customHeight="1">
      <c r="A33" s="2" t="inlineStr">
        <is>
          <t>From 10 to 100, the bill climbs almost in line with CBOs, because each organization adds the same SMS and document cost and the database does not change. Crossing 200 raises the database even if the other costs only double. Crossing 500 raises it again. Funder search, Maps, and Cloud Run stay small on this path: map loads at 500 funders are 500 times 6, which is under the 10,000 free loads, and web research stays under the free search quota.</t>
        </is>
      </c>
    </row>
    <row r="34" ht="22" customHeight="1"/>
    <row r="35" ht="22" customHeight="1"/>
  </sheetData>
  <mergeCells count="2">
    <mergeCell ref="A33:G35"/>
    <mergeCell ref="A2:G2"/>
  </mergeCells>
  <pageMargins left="0.5" right="0.5" top="0.7" bottom="0.6" header="0.5" footer="0.5"/>
  <pageSetup orientation="landscape" paperSize="3" fitToHeight="1" fitToWidth="1"/>
  <headerFooter>
    <oddHeader>&amp;LKumbu Connect  ·  production cost model</oddHeader>
    <oddFooter>&amp;LPlanning estimates from public list prices. Not an invoice.&amp;RPage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9C2F2F"/>
    <outlinePr summaryBelow="1" summaryRight="1"/>
    <pageSetUpPr fitToPage="1"/>
  </sheetPr>
  <dimension ref="A1:I22"/>
  <sheetViews>
    <sheetView showGridLines="0" zoomScale="110" workbookViewId="0">
      <pane xSplit="1" ySplit="11" topLeftCell="B12" activePane="bottomRight" state="frozen"/>
      <selection pane="topRight"/>
      <selection pane="bottomLeft"/>
      <selection pane="bottomRight" activeCell="A1" sqref="A1"/>
    </sheetView>
  </sheetViews>
  <sheetFormatPr baseColWidth="8" defaultRowHeight="15"/>
  <cols>
    <col width="42" customWidth="1" min="1" max="1"/>
    <col width="16" customWidth="1" min="2" max="2"/>
    <col width="18" customWidth="1" min="3" max="3"/>
    <col width="18" customWidth="1" min="4" max="4"/>
    <col width="22" customWidth="1" min="5" max="5"/>
    <col width="20" customWidth="1" min="6" max="6"/>
    <col width="22" customWidth="1" min="7" max="7"/>
    <col width="20" customWidth="1" min="8" max="8"/>
    <col width="24" customWidth="1" min="9" max="9"/>
  </cols>
  <sheetData>
    <row r="1">
      <c r="A1" s="1" t="inlineStr">
        <is>
          <t>What changes the bill</t>
        </is>
      </c>
    </row>
    <row r="2" ht="32" customHeight="1">
      <c r="A2" s="2" t="inlineStr">
        <is>
          <t>These cases change one behavior at a time, for the matched tiers only. They do not change Assumptions. Yellow cells are the alternate settings.</t>
        </is>
      </c>
    </row>
    <row r="3">
      <c r="A3" s="7" t="inlineStr">
        <is>
          <t>Alternate setting</t>
        </is>
      </c>
      <c r="B3" s="7" t="inlineStr">
        <is>
          <t>Value</t>
        </is>
      </c>
      <c r="C3" s="7" t="inlineStr">
        <is>
          <t>Note</t>
        </is>
      </c>
      <c r="D3" s="55" t="n"/>
      <c r="E3" s="56" t="n"/>
    </row>
    <row r="4" ht="22" customHeight="1">
      <c r="A4" s="25" t="inlineStr">
        <is>
          <t>Check-ins per year in the heavy case</t>
        </is>
      </c>
      <c r="B4" s="26" t="n">
        <v>12</v>
      </c>
      <c r="C4" s="2" t="inlineStr">
        <is>
          <t>The app default is 2.</t>
        </is>
      </c>
    </row>
    <row r="5" ht="22" customHeight="1">
      <c r="A5" s="25" t="inlineStr">
        <is>
          <t>Texters per CBO in the heavy case</t>
        </is>
      </c>
      <c r="B5" s="26" t="n">
        <v>25</v>
      </c>
      <c r="C5" s="2" t="inlineStr">
        <is>
          <t>The base case uses the Assumptions panel size.</t>
        </is>
      </c>
    </row>
    <row r="6" ht="22" customHeight="1">
      <c r="A6" s="25" t="inlineStr">
        <is>
          <t>If each text runs long</t>
        </is>
      </c>
      <c r="B6" s="29" t="n">
        <v>1.5</v>
      </c>
      <c r="C6" s="2" t="inlineStr">
        <is>
          <t>1.5 means the average text takes one and a half segments.</t>
        </is>
      </c>
    </row>
    <row r="7" ht="22" customHeight="1">
      <c r="A7" s="25" t="inlineStr">
        <is>
          <t>Map loads per funder</t>
        </is>
      </c>
      <c r="B7" s="26" t="n">
        <v>30</v>
      </c>
      <c r="C7" s="2" t="inlineStr">
        <is>
          <t>Base case is 6. Thirty is about a visit most weekdays. 500 funders then pass the free Maps allowance.</t>
        </is>
      </c>
    </row>
    <row r="8" ht="22" customHeight="1">
      <c r="A8" s="25" t="inlineStr">
        <is>
          <t>AI searches per funder</t>
        </is>
      </c>
      <c r="B8" s="26" t="n">
        <v>15</v>
      </c>
      <c r="C8" s="2" t="inlineStr">
        <is>
          <t>Base case is 3.</t>
        </is>
      </c>
    </row>
    <row r="9" ht="22" customHeight="1">
      <c r="A9" s="25" t="inlineStr">
        <is>
          <t>Gemini price multiple</t>
        </is>
      </c>
      <c r="B9" s="57" t="n">
        <v>5</v>
      </c>
      <c r="C9" s="2" t="inlineStr">
        <is>
          <t>5× stands in for a higher-priced Flash model than the efficient rate.</t>
        </is>
      </c>
    </row>
    <row r="11" ht="36" customHeight="1">
      <c r="A11" s="7" t="inlineStr">
        <is>
          <t>Active on each side</t>
        </is>
      </c>
      <c r="B11" s="7" t="inlineStr">
        <is>
          <t>Base monthly</t>
        </is>
      </c>
      <c r="C11" s="7" t="inlineStr">
        <is>
          <t>Check-ins at the heavy rate</t>
        </is>
      </c>
      <c r="D11" s="7" t="inlineStr">
        <is>
          <t>More texters per CBO</t>
        </is>
      </c>
      <c r="E11" s="7" t="inlineStr">
        <is>
          <t>Heavy check-ins and more texters</t>
        </is>
      </c>
      <c r="F11" s="7" t="inlineStr">
        <is>
          <t>Longer texts</t>
        </is>
      </c>
      <c r="G11" s="7" t="inlineStr">
        <is>
          <t>Heavier map use</t>
        </is>
      </c>
      <c r="H11" s="7" t="inlineStr">
        <is>
          <t>Heavier AI search</t>
        </is>
      </c>
      <c r="I11" s="7" t="inlineStr">
        <is>
          <t>Higher Gemini price</t>
        </is>
      </c>
    </row>
    <row r="12" ht="22" customHeight="1">
      <c r="A12" s="8">
        <f>cbo_tier_1</f>
        <v/>
      </c>
      <c r="B12" s="50">
        <f>SUMIFS(Scenarios!$V$6:$V$41,Scenarios!$A$6:$A$41,cbo_tier_1,Scenarios!$B$6:$B$41,cbo_tier_1)</f>
        <v/>
      </c>
      <c r="C12" s="11">
        <f>SUMIFS(Scenarios!$V$6:$V$41,Scenarios!$A$6:$A$41,cbo_tier_1,Scenarios!$B$6:$B$41,cbo_tier_1)-(SUMIFS(Scenarios!$I$6:$I$41,Scenarios!$A$6:$A$41,cbo_tier_1,Scenarios!$B$6:$B$41,cbo_tier_1)+SUMIFS(Scenarios!$J$6:$J$41,Scenarios!$A$6:$A$41,cbo_tier_1,Scenarios!$B$6:$B$41,cbo_tier_1)+SUMIFS(Scenarios!$P$6:$P$41,Scenarios!$A$6:$A$41,cbo_tier_1,Scenarios!$B$6:$B$41,cbo_tier_1))+(SUMIFS(Scenarios!$I$6:$I$41,Scenarios!$A$6:$A$41,cbo_tier_1,Scenarios!$B$6:$B$41,cbo_tier_1)+SUMIFS(Scenarios!$J$6:$J$41,Scenarios!$A$6:$A$41,cbo_tier_1,Scenarios!$B$6:$B$41,cbo_tier_1)+SUMIFS(Scenarios!$P$6:$P$41,Scenarios!$A$6:$A$41,cbo_tier_1,Scenarios!$B$6:$B$41,cbo_tier_1))*(sens_checkins/checkins_per_year)</f>
        <v/>
      </c>
      <c r="D12" s="11">
        <f>SUMIFS(Scenarios!$V$6:$V$41,Scenarios!$A$6:$A$41,cbo_tier_1,Scenarios!$B$6:$B$41,cbo_tier_1)-(SUMIFS(Scenarios!$I$6:$I$41,Scenarios!$A$6:$A$41,cbo_tier_1,Scenarios!$B$6:$B$41,cbo_tier_1)+SUMIFS(Scenarios!$J$6:$J$41,Scenarios!$A$6:$A$41,cbo_tier_1,Scenarios!$B$6:$B$41,cbo_tier_1)+SUMIFS(Scenarios!$P$6:$P$41,Scenarios!$A$6:$A$41,cbo_tier_1,Scenarios!$B$6:$B$41,cbo_tier_1))+(SUMIFS(Scenarios!$I$6:$I$41,Scenarios!$A$6:$A$41,cbo_tier_1,Scenarios!$B$6:$B$41,cbo_tier_1)+SUMIFS(Scenarios!$J$6:$J$41,Scenarios!$A$6:$A$41,cbo_tier_1,Scenarios!$B$6:$B$41,cbo_tier_1)+SUMIFS(Scenarios!$P$6:$P$41,Scenarios!$A$6:$A$41,cbo_tier_1,Scenarios!$B$6:$B$41,cbo_tier_1))*(sens_subscribers/subscribers_per_cbo)</f>
        <v/>
      </c>
      <c r="E12" s="11">
        <f>SUMIFS(Scenarios!$V$6:$V$41,Scenarios!$A$6:$A$41,cbo_tier_1,Scenarios!$B$6:$B$41,cbo_tier_1)-(SUMIFS(Scenarios!$I$6:$I$41,Scenarios!$A$6:$A$41,cbo_tier_1,Scenarios!$B$6:$B$41,cbo_tier_1)+SUMIFS(Scenarios!$J$6:$J$41,Scenarios!$A$6:$A$41,cbo_tier_1,Scenarios!$B$6:$B$41,cbo_tier_1)+SUMIFS(Scenarios!$P$6:$P$41,Scenarios!$A$6:$A$41,cbo_tier_1,Scenarios!$B$6:$B$41,cbo_tier_1))+(SUMIFS(Scenarios!$I$6:$I$41,Scenarios!$A$6:$A$41,cbo_tier_1,Scenarios!$B$6:$B$41,cbo_tier_1)+SUMIFS(Scenarios!$J$6:$J$41,Scenarios!$A$6:$A$41,cbo_tier_1,Scenarios!$B$6:$B$41,cbo_tier_1)+SUMIFS(Scenarios!$P$6:$P$41,Scenarios!$A$6:$A$41,cbo_tier_1,Scenarios!$B$6:$B$41,cbo_tier_1))*(sens_checkins/checkins_per_year)*(sens_subscribers/subscribers_per_cbo)</f>
        <v/>
      </c>
      <c r="F12" s="11">
        <f>SUMIFS(Scenarios!$V$6:$V$41,Scenarios!$A$6:$A$41,cbo_tier_1,Scenarios!$B$6:$B$41,cbo_tier_1)-(SUMIFS(Scenarios!$I$6:$I$41,Scenarios!$A$6:$A$41,cbo_tier_1,Scenarios!$B$6:$B$41,cbo_tier_1)+SUMIFS(Scenarios!$J$6:$J$41,Scenarios!$A$6:$A$41,cbo_tier_1,Scenarios!$B$6:$B$41,cbo_tier_1))+(SUMIFS(Scenarios!$I$6:$I$41,Scenarios!$A$6:$A$41,cbo_tier_1,Scenarios!$B$6:$B$41,cbo_tier_1)+SUMIFS(Scenarios!$J$6:$J$41,Scenarios!$A$6:$A$41,cbo_tier_1,Scenarios!$B$6:$B$41,cbo_tier_1))*sens_segment_factor</f>
        <v/>
      </c>
      <c r="G12" s="11">
        <f>SUMIFS(Scenarios!$V$6:$V$41,Scenarios!$A$6:$A$41,cbo_tier_1,Scenarios!$B$6:$B$41,cbo_tier_1)-SUMIFS(Scenarios!$T$6:$T$41,Scenarios!$A$6:$A$41,cbo_tier_1,Scenarios!$B$6:$B$41,cbo_tier_1)+MAX(0,cbo_tier_1*sens_map_loads-free_maps)/1000*price_map_1k</f>
        <v/>
      </c>
      <c r="H12" s="11">
        <f>IF(ai_searches_per_funder=0,SUMIFS(Scenarios!$V$6:$V$41,Scenarios!$A$6:$A$41,cbo_tier_1,Scenarios!$B$6:$B$41,cbo_tier_1),SUMIFS(Scenarios!$V$6:$V$41,Scenarios!$A$6:$A$41,cbo_tier_1,Scenarios!$B$6:$B$41,cbo_tier_1)-SUMIFS(Scenarios!$N$6:$N$41,Scenarios!$A$6:$A$41,cbo_tier_1,Scenarios!$B$6:$B$41,cbo_tier_1)+SUMIFS(Scenarios!$N$6:$N$41,Scenarios!$A$6:$A$41,cbo_tier_1,Scenarios!$B$6:$B$41,cbo_tier_1)*(sens_searches/ai_searches_per_funder))</f>
        <v/>
      </c>
      <c r="I12" s="11">
        <f>SUMIFS(Scenarios!$V$6:$V$41,Scenarios!$A$6:$A$41,cbo_tier_1,Scenarios!$B$6:$B$41,cbo_tier_1)-(SUMIFS(Scenarios!$L$6:$L$41,Scenarios!$A$6:$A$41,cbo_tier_1,Scenarios!$B$6:$B$41,cbo_tier_1)+SUMIFS(Scenarios!$M$6:$M$41,Scenarios!$A$6:$A$41,cbo_tier_1,Scenarios!$B$6:$B$41,cbo_tier_1)+SUMIFS(Scenarios!$N$6:$N$41,Scenarios!$A$6:$A$41,cbo_tier_1,Scenarios!$B$6:$B$41,cbo_tier_1)+SUMIFS(Scenarios!$O$6:$O$41,Scenarios!$A$6:$A$41,cbo_tier_1,Scenarios!$B$6:$B$41,cbo_tier_1)+SUMIFS(Scenarios!$P$6:$P$41,Scenarios!$A$6:$A$41,cbo_tier_1,Scenarios!$B$6:$B$41,cbo_tier_1))+(SUMIFS(Scenarios!$L$6:$L$41,Scenarios!$A$6:$A$41,cbo_tier_1,Scenarios!$B$6:$B$41,cbo_tier_1)+SUMIFS(Scenarios!$M$6:$M$41,Scenarios!$A$6:$A$41,cbo_tier_1,Scenarios!$B$6:$B$41,cbo_tier_1)+SUMIFS(Scenarios!$N$6:$N$41,Scenarios!$A$6:$A$41,cbo_tier_1,Scenarios!$B$6:$B$41,cbo_tier_1)+SUMIFS(Scenarios!$O$6:$O$41,Scenarios!$A$6:$A$41,cbo_tier_1,Scenarios!$B$6:$B$41,cbo_tier_1)+SUMIFS(Scenarios!$P$6:$P$41,Scenarios!$A$6:$A$41,cbo_tier_1,Scenarios!$B$6:$B$41,cbo_tier_1))*sens_gemini_mult</f>
        <v/>
      </c>
    </row>
    <row r="13" ht="22" customHeight="1">
      <c r="A13" s="13">
        <f>cbo_tier_2</f>
        <v/>
      </c>
      <c r="B13" s="51">
        <f>SUMIFS(Scenarios!$V$6:$V$41,Scenarios!$A$6:$A$41,cbo_tier_2,Scenarios!$B$6:$B$41,cbo_tier_2)</f>
        <v/>
      </c>
      <c r="C13" s="16">
        <f>SUMIFS(Scenarios!$V$6:$V$41,Scenarios!$A$6:$A$41,cbo_tier_2,Scenarios!$B$6:$B$41,cbo_tier_2)-(SUMIFS(Scenarios!$I$6:$I$41,Scenarios!$A$6:$A$41,cbo_tier_2,Scenarios!$B$6:$B$41,cbo_tier_2)+SUMIFS(Scenarios!$J$6:$J$41,Scenarios!$A$6:$A$41,cbo_tier_2,Scenarios!$B$6:$B$41,cbo_tier_2)+SUMIFS(Scenarios!$P$6:$P$41,Scenarios!$A$6:$A$41,cbo_tier_2,Scenarios!$B$6:$B$41,cbo_tier_2))+(SUMIFS(Scenarios!$I$6:$I$41,Scenarios!$A$6:$A$41,cbo_tier_2,Scenarios!$B$6:$B$41,cbo_tier_2)+SUMIFS(Scenarios!$J$6:$J$41,Scenarios!$A$6:$A$41,cbo_tier_2,Scenarios!$B$6:$B$41,cbo_tier_2)+SUMIFS(Scenarios!$P$6:$P$41,Scenarios!$A$6:$A$41,cbo_tier_2,Scenarios!$B$6:$B$41,cbo_tier_2))*(sens_checkins/checkins_per_year)</f>
        <v/>
      </c>
      <c r="D13" s="16">
        <f>SUMIFS(Scenarios!$V$6:$V$41,Scenarios!$A$6:$A$41,cbo_tier_2,Scenarios!$B$6:$B$41,cbo_tier_2)-(SUMIFS(Scenarios!$I$6:$I$41,Scenarios!$A$6:$A$41,cbo_tier_2,Scenarios!$B$6:$B$41,cbo_tier_2)+SUMIFS(Scenarios!$J$6:$J$41,Scenarios!$A$6:$A$41,cbo_tier_2,Scenarios!$B$6:$B$41,cbo_tier_2)+SUMIFS(Scenarios!$P$6:$P$41,Scenarios!$A$6:$A$41,cbo_tier_2,Scenarios!$B$6:$B$41,cbo_tier_2))+(SUMIFS(Scenarios!$I$6:$I$41,Scenarios!$A$6:$A$41,cbo_tier_2,Scenarios!$B$6:$B$41,cbo_tier_2)+SUMIFS(Scenarios!$J$6:$J$41,Scenarios!$A$6:$A$41,cbo_tier_2,Scenarios!$B$6:$B$41,cbo_tier_2)+SUMIFS(Scenarios!$P$6:$P$41,Scenarios!$A$6:$A$41,cbo_tier_2,Scenarios!$B$6:$B$41,cbo_tier_2))*(sens_subscribers/subscribers_per_cbo)</f>
        <v/>
      </c>
      <c r="E13" s="16">
        <f>SUMIFS(Scenarios!$V$6:$V$41,Scenarios!$A$6:$A$41,cbo_tier_2,Scenarios!$B$6:$B$41,cbo_tier_2)-(SUMIFS(Scenarios!$I$6:$I$41,Scenarios!$A$6:$A$41,cbo_tier_2,Scenarios!$B$6:$B$41,cbo_tier_2)+SUMIFS(Scenarios!$J$6:$J$41,Scenarios!$A$6:$A$41,cbo_tier_2,Scenarios!$B$6:$B$41,cbo_tier_2)+SUMIFS(Scenarios!$P$6:$P$41,Scenarios!$A$6:$A$41,cbo_tier_2,Scenarios!$B$6:$B$41,cbo_tier_2))+(SUMIFS(Scenarios!$I$6:$I$41,Scenarios!$A$6:$A$41,cbo_tier_2,Scenarios!$B$6:$B$41,cbo_tier_2)+SUMIFS(Scenarios!$J$6:$J$41,Scenarios!$A$6:$A$41,cbo_tier_2,Scenarios!$B$6:$B$41,cbo_tier_2)+SUMIFS(Scenarios!$P$6:$P$41,Scenarios!$A$6:$A$41,cbo_tier_2,Scenarios!$B$6:$B$41,cbo_tier_2))*(sens_checkins/checkins_per_year)*(sens_subscribers/subscribers_per_cbo)</f>
        <v/>
      </c>
      <c r="F13" s="16">
        <f>SUMIFS(Scenarios!$V$6:$V$41,Scenarios!$A$6:$A$41,cbo_tier_2,Scenarios!$B$6:$B$41,cbo_tier_2)-(SUMIFS(Scenarios!$I$6:$I$41,Scenarios!$A$6:$A$41,cbo_tier_2,Scenarios!$B$6:$B$41,cbo_tier_2)+SUMIFS(Scenarios!$J$6:$J$41,Scenarios!$A$6:$A$41,cbo_tier_2,Scenarios!$B$6:$B$41,cbo_tier_2))+(SUMIFS(Scenarios!$I$6:$I$41,Scenarios!$A$6:$A$41,cbo_tier_2,Scenarios!$B$6:$B$41,cbo_tier_2)+SUMIFS(Scenarios!$J$6:$J$41,Scenarios!$A$6:$A$41,cbo_tier_2,Scenarios!$B$6:$B$41,cbo_tier_2))*sens_segment_factor</f>
        <v/>
      </c>
      <c r="G13" s="16">
        <f>SUMIFS(Scenarios!$V$6:$V$41,Scenarios!$A$6:$A$41,cbo_tier_2,Scenarios!$B$6:$B$41,cbo_tier_2)-SUMIFS(Scenarios!$T$6:$T$41,Scenarios!$A$6:$A$41,cbo_tier_2,Scenarios!$B$6:$B$41,cbo_tier_2)+MAX(0,cbo_tier_2*sens_map_loads-free_maps)/1000*price_map_1k</f>
        <v/>
      </c>
      <c r="H13" s="16">
        <f>IF(ai_searches_per_funder=0,SUMIFS(Scenarios!$V$6:$V$41,Scenarios!$A$6:$A$41,cbo_tier_2,Scenarios!$B$6:$B$41,cbo_tier_2),SUMIFS(Scenarios!$V$6:$V$41,Scenarios!$A$6:$A$41,cbo_tier_2,Scenarios!$B$6:$B$41,cbo_tier_2)-SUMIFS(Scenarios!$N$6:$N$41,Scenarios!$A$6:$A$41,cbo_tier_2,Scenarios!$B$6:$B$41,cbo_tier_2)+SUMIFS(Scenarios!$N$6:$N$41,Scenarios!$A$6:$A$41,cbo_tier_2,Scenarios!$B$6:$B$41,cbo_tier_2)*(sens_searches/ai_searches_per_funder))</f>
        <v/>
      </c>
      <c r="I13" s="16">
        <f>SUMIFS(Scenarios!$V$6:$V$41,Scenarios!$A$6:$A$41,cbo_tier_2,Scenarios!$B$6:$B$41,cbo_tier_2)-(SUMIFS(Scenarios!$L$6:$L$41,Scenarios!$A$6:$A$41,cbo_tier_2,Scenarios!$B$6:$B$41,cbo_tier_2)+SUMIFS(Scenarios!$M$6:$M$41,Scenarios!$A$6:$A$41,cbo_tier_2,Scenarios!$B$6:$B$41,cbo_tier_2)+SUMIFS(Scenarios!$N$6:$N$41,Scenarios!$A$6:$A$41,cbo_tier_2,Scenarios!$B$6:$B$41,cbo_tier_2)+SUMIFS(Scenarios!$O$6:$O$41,Scenarios!$A$6:$A$41,cbo_tier_2,Scenarios!$B$6:$B$41,cbo_tier_2)+SUMIFS(Scenarios!$P$6:$P$41,Scenarios!$A$6:$A$41,cbo_tier_2,Scenarios!$B$6:$B$41,cbo_tier_2))+(SUMIFS(Scenarios!$L$6:$L$41,Scenarios!$A$6:$A$41,cbo_tier_2,Scenarios!$B$6:$B$41,cbo_tier_2)+SUMIFS(Scenarios!$M$6:$M$41,Scenarios!$A$6:$A$41,cbo_tier_2,Scenarios!$B$6:$B$41,cbo_tier_2)+SUMIFS(Scenarios!$N$6:$N$41,Scenarios!$A$6:$A$41,cbo_tier_2,Scenarios!$B$6:$B$41,cbo_tier_2)+SUMIFS(Scenarios!$O$6:$O$41,Scenarios!$A$6:$A$41,cbo_tier_2,Scenarios!$B$6:$B$41,cbo_tier_2)+SUMIFS(Scenarios!$P$6:$P$41,Scenarios!$A$6:$A$41,cbo_tier_2,Scenarios!$B$6:$B$41,cbo_tier_2))*sens_gemini_mult</f>
        <v/>
      </c>
    </row>
    <row r="14" ht="22" customHeight="1">
      <c r="A14" s="8">
        <f>cbo_tier_3</f>
        <v/>
      </c>
      <c r="B14" s="50">
        <f>SUMIFS(Scenarios!$V$6:$V$41,Scenarios!$A$6:$A$41,cbo_tier_3,Scenarios!$B$6:$B$41,cbo_tier_3)</f>
        <v/>
      </c>
      <c r="C14" s="11">
        <f>SUMIFS(Scenarios!$V$6:$V$41,Scenarios!$A$6:$A$41,cbo_tier_3,Scenarios!$B$6:$B$41,cbo_tier_3)-(SUMIFS(Scenarios!$I$6:$I$41,Scenarios!$A$6:$A$41,cbo_tier_3,Scenarios!$B$6:$B$41,cbo_tier_3)+SUMIFS(Scenarios!$J$6:$J$41,Scenarios!$A$6:$A$41,cbo_tier_3,Scenarios!$B$6:$B$41,cbo_tier_3)+SUMIFS(Scenarios!$P$6:$P$41,Scenarios!$A$6:$A$41,cbo_tier_3,Scenarios!$B$6:$B$41,cbo_tier_3))+(SUMIFS(Scenarios!$I$6:$I$41,Scenarios!$A$6:$A$41,cbo_tier_3,Scenarios!$B$6:$B$41,cbo_tier_3)+SUMIFS(Scenarios!$J$6:$J$41,Scenarios!$A$6:$A$41,cbo_tier_3,Scenarios!$B$6:$B$41,cbo_tier_3)+SUMIFS(Scenarios!$P$6:$P$41,Scenarios!$A$6:$A$41,cbo_tier_3,Scenarios!$B$6:$B$41,cbo_tier_3))*(sens_checkins/checkins_per_year)</f>
        <v/>
      </c>
      <c r="D14" s="11">
        <f>SUMIFS(Scenarios!$V$6:$V$41,Scenarios!$A$6:$A$41,cbo_tier_3,Scenarios!$B$6:$B$41,cbo_tier_3)-(SUMIFS(Scenarios!$I$6:$I$41,Scenarios!$A$6:$A$41,cbo_tier_3,Scenarios!$B$6:$B$41,cbo_tier_3)+SUMIFS(Scenarios!$J$6:$J$41,Scenarios!$A$6:$A$41,cbo_tier_3,Scenarios!$B$6:$B$41,cbo_tier_3)+SUMIFS(Scenarios!$P$6:$P$41,Scenarios!$A$6:$A$41,cbo_tier_3,Scenarios!$B$6:$B$41,cbo_tier_3))+(SUMIFS(Scenarios!$I$6:$I$41,Scenarios!$A$6:$A$41,cbo_tier_3,Scenarios!$B$6:$B$41,cbo_tier_3)+SUMIFS(Scenarios!$J$6:$J$41,Scenarios!$A$6:$A$41,cbo_tier_3,Scenarios!$B$6:$B$41,cbo_tier_3)+SUMIFS(Scenarios!$P$6:$P$41,Scenarios!$A$6:$A$41,cbo_tier_3,Scenarios!$B$6:$B$41,cbo_tier_3))*(sens_subscribers/subscribers_per_cbo)</f>
        <v/>
      </c>
      <c r="E14" s="11">
        <f>SUMIFS(Scenarios!$V$6:$V$41,Scenarios!$A$6:$A$41,cbo_tier_3,Scenarios!$B$6:$B$41,cbo_tier_3)-(SUMIFS(Scenarios!$I$6:$I$41,Scenarios!$A$6:$A$41,cbo_tier_3,Scenarios!$B$6:$B$41,cbo_tier_3)+SUMIFS(Scenarios!$J$6:$J$41,Scenarios!$A$6:$A$41,cbo_tier_3,Scenarios!$B$6:$B$41,cbo_tier_3)+SUMIFS(Scenarios!$P$6:$P$41,Scenarios!$A$6:$A$41,cbo_tier_3,Scenarios!$B$6:$B$41,cbo_tier_3))+(SUMIFS(Scenarios!$I$6:$I$41,Scenarios!$A$6:$A$41,cbo_tier_3,Scenarios!$B$6:$B$41,cbo_tier_3)+SUMIFS(Scenarios!$J$6:$J$41,Scenarios!$A$6:$A$41,cbo_tier_3,Scenarios!$B$6:$B$41,cbo_tier_3)+SUMIFS(Scenarios!$P$6:$P$41,Scenarios!$A$6:$A$41,cbo_tier_3,Scenarios!$B$6:$B$41,cbo_tier_3))*(sens_checkins/checkins_per_year)*(sens_subscribers/subscribers_per_cbo)</f>
        <v/>
      </c>
      <c r="F14" s="11">
        <f>SUMIFS(Scenarios!$V$6:$V$41,Scenarios!$A$6:$A$41,cbo_tier_3,Scenarios!$B$6:$B$41,cbo_tier_3)-(SUMIFS(Scenarios!$I$6:$I$41,Scenarios!$A$6:$A$41,cbo_tier_3,Scenarios!$B$6:$B$41,cbo_tier_3)+SUMIFS(Scenarios!$J$6:$J$41,Scenarios!$A$6:$A$41,cbo_tier_3,Scenarios!$B$6:$B$41,cbo_tier_3))+(SUMIFS(Scenarios!$I$6:$I$41,Scenarios!$A$6:$A$41,cbo_tier_3,Scenarios!$B$6:$B$41,cbo_tier_3)+SUMIFS(Scenarios!$J$6:$J$41,Scenarios!$A$6:$A$41,cbo_tier_3,Scenarios!$B$6:$B$41,cbo_tier_3))*sens_segment_factor</f>
        <v/>
      </c>
      <c r="G14" s="11">
        <f>SUMIFS(Scenarios!$V$6:$V$41,Scenarios!$A$6:$A$41,cbo_tier_3,Scenarios!$B$6:$B$41,cbo_tier_3)-SUMIFS(Scenarios!$T$6:$T$41,Scenarios!$A$6:$A$41,cbo_tier_3,Scenarios!$B$6:$B$41,cbo_tier_3)+MAX(0,cbo_tier_3*sens_map_loads-free_maps)/1000*price_map_1k</f>
        <v/>
      </c>
      <c r="H14" s="11">
        <f>IF(ai_searches_per_funder=0,SUMIFS(Scenarios!$V$6:$V$41,Scenarios!$A$6:$A$41,cbo_tier_3,Scenarios!$B$6:$B$41,cbo_tier_3),SUMIFS(Scenarios!$V$6:$V$41,Scenarios!$A$6:$A$41,cbo_tier_3,Scenarios!$B$6:$B$41,cbo_tier_3)-SUMIFS(Scenarios!$N$6:$N$41,Scenarios!$A$6:$A$41,cbo_tier_3,Scenarios!$B$6:$B$41,cbo_tier_3)+SUMIFS(Scenarios!$N$6:$N$41,Scenarios!$A$6:$A$41,cbo_tier_3,Scenarios!$B$6:$B$41,cbo_tier_3)*(sens_searches/ai_searches_per_funder))</f>
        <v/>
      </c>
      <c r="I14" s="11">
        <f>SUMIFS(Scenarios!$V$6:$V$41,Scenarios!$A$6:$A$41,cbo_tier_3,Scenarios!$B$6:$B$41,cbo_tier_3)-(SUMIFS(Scenarios!$L$6:$L$41,Scenarios!$A$6:$A$41,cbo_tier_3,Scenarios!$B$6:$B$41,cbo_tier_3)+SUMIFS(Scenarios!$M$6:$M$41,Scenarios!$A$6:$A$41,cbo_tier_3,Scenarios!$B$6:$B$41,cbo_tier_3)+SUMIFS(Scenarios!$N$6:$N$41,Scenarios!$A$6:$A$41,cbo_tier_3,Scenarios!$B$6:$B$41,cbo_tier_3)+SUMIFS(Scenarios!$O$6:$O$41,Scenarios!$A$6:$A$41,cbo_tier_3,Scenarios!$B$6:$B$41,cbo_tier_3)+SUMIFS(Scenarios!$P$6:$P$41,Scenarios!$A$6:$A$41,cbo_tier_3,Scenarios!$B$6:$B$41,cbo_tier_3))+(SUMIFS(Scenarios!$L$6:$L$41,Scenarios!$A$6:$A$41,cbo_tier_3,Scenarios!$B$6:$B$41,cbo_tier_3)+SUMIFS(Scenarios!$M$6:$M$41,Scenarios!$A$6:$A$41,cbo_tier_3,Scenarios!$B$6:$B$41,cbo_tier_3)+SUMIFS(Scenarios!$N$6:$N$41,Scenarios!$A$6:$A$41,cbo_tier_3,Scenarios!$B$6:$B$41,cbo_tier_3)+SUMIFS(Scenarios!$O$6:$O$41,Scenarios!$A$6:$A$41,cbo_tier_3,Scenarios!$B$6:$B$41,cbo_tier_3)+SUMIFS(Scenarios!$P$6:$P$41,Scenarios!$A$6:$A$41,cbo_tier_3,Scenarios!$B$6:$B$41,cbo_tier_3))*sens_gemini_mult</f>
        <v/>
      </c>
    </row>
    <row r="15" ht="22" customHeight="1">
      <c r="A15" s="13">
        <f>cbo_tier_4</f>
        <v/>
      </c>
      <c r="B15" s="51">
        <f>SUMIFS(Scenarios!$V$6:$V$41,Scenarios!$A$6:$A$41,cbo_tier_4,Scenarios!$B$6:$B$41,cbo_tier_4)</f>
        <v/>
      </c>
      <c r="C15" s="16">
        <f>SUMIFS(Scenarios!$V$6:$V$41,Scenarios!$A$6:$A$41,cbo_tier_4,Scenarios!$B$6:$B$41,cbo_tier_4)-(SUMIFS(Scenarios!$I$6:$I$41,Scenarios!$A$6:$A$41,cbo_tier_4,Scenarios!$B$6:$B$41,cbo_tier_4)+SUMIFS(Scenarios!$J$6:$J$41,Scenarios!$A$6:$A$41,cbo_tier_4,Scenarios!$B$6:$B$41,cbo_tier_4)+SUMIFS(Scenarios!$P$6:$P$41,Scenarios!$A$6:$A$41,cbo_tier_4,Scenarios!$B$6:$B$41,cbo_tier_4))+(SUMIFS(Scenarios!$I$6:$I$41,Scenarios!$A$6:$A$41,cbo_tier_4,Scenarios!$B$6:$B$41,cbo_tier_4)+SUMIFS(Scenarios!$J$6:$J$41,Scenarios!$A$6:$A$41,cbo_tier_4,Scenarios!$B$6:$B$41,cbo_tier_4)+SUMIFS(Scenarios!$P$6:$P$41,Scenarios!$A$6:$A$41,cbo_tier_4,Scenarios!$B$6:$B$41,cbo_tier_4))*(sens_checkins/checkins_per_year)</f>
        <v/>
      </c>
      <c r="D15" s="16">
        <f>SUMIFS(Scenarios!$V$6:$V$41,Scenarios!$A$6:$A$41,cbo_tier_4,Scenarios!$B$6:$B$41,cbo_tier_4)-(SUMIFS(Scenarios!$I$6:$I$41,Scenarios!$A$6:$A$41,cbo_tier_4,Scenarios!$B$6:$B$41,cbo_tier_4)+SUMIFS(Scenarios!$J$6:$J$41,Scenarios!$A$6:$A$41,cbo_tier_4,Scenarios!$B$6:$B$41,cbo_tier_4)+SUMIFS(Scenarios!$P$6:$P$41,Scenarios!$A$6:$A$41,cbo_tier_4,Scenarios!$B$6:$B$41,cbo_tier_4))+(SUMIFS(Scenarios!$I$6:$I$41,Scenarios!$A$6:$A$41,cbo_tier_4,Scenarios!$B$6:$B$41,cbo_tier_4)+SUMIFS(Scenarios!$J$6:$J$41,Scenarios!$A$6:$A$41,cbo_tier_4,Scenarios!$B$6:$B$41,cbo_tier_4)+SUMIFS(Scenarios!$P$6:$P$41,Scenarios!$A$6:$A$41,cbo_tier_4,Scenarios!$B$6:$B$41,cbo_tier_4))*(sens_subscribers/subscribers_per_cbo)</f>
        <v/>
      </c>
      <c r="E15" s="16">
        <f>SUMIFS(Scenarios!$V$6:$V$41,Scenarios!$A$6:$A$41,cbo_tier_4,Scenarios!$B$6:$B$41,cbo_tier_4)-(SUMIFS(Scenarios!$I$6:$I$41,Scenarios!$A$6:$A$41,cbo_tier_4,Scenarios!$B$6:$B$41,cbo_tier_4)+SUMIFS(Scenarios!$J$6:$J$41,Scenarios!$A$6:$A$41,cbo_tier_4,Scenarios!$B$6:$B$41,cbo_tier_4)+SUMIFS(Scenarios!$P$6:$P$41,Scenarios!$A$6:$A$41,cbo_tier_4,Scenarios!$B$6:$B$41,cbo_tier_4))+(SUMIFS(Scenarios!$I$6:$I$41,Scenarios!$A$6:$A$41,cbo_tier_4,Scenarios!$B$6:$B$41,cbo_tier_4)+SUMIFS(Scenarios!$J$6:$J$41,Scenarios!$A$6:$A$41,cbo_tier_4,Scenarios!$B$6:$B$41,cbo_tier_4)+SUMIFS(Scenarios!$P$6:$P$41,Scenarios!$A$6:$A$41,cbo_tier_4,Scenarios!$B$6:$B$41,cbo_tier_4))*(sens_checkins/checkins_per_year)*(sens_subscribers/subscribers_per_cbo)</f>
        <v/>
      </c>
      <c r="F15" s="16">
        <f>SUMIFS(Scenarios!$V$6:$V$41,Scenarios!$A$6:$A$41,cbo_tier_4,Scenarios!$B$6:$B$41,cbo_tier_4)-(SUMIFS(Scenarios!$I$6:$I$41,Scenarios!$A$6:$A$41,cbo_tier_4,Scenarios!$B$6:$B$41,cbo_tier_4)+SUMIFS(Scenarios!$J$6:$J$41,Scenarios!$A$6:$A$41,cbo_tier_4,Scenarios!$B$6:$B$41,cbo_tier_4))+(SUMIFS(Scenarios!$I$6:$I$41,Scenarios!$A$6:$A$41,cbo_tier_4,Scenarios!$B$6:$B$41,cbo_tier_4)+SUMIFS(Scenarios!$J$6:$J$41,Scenarios!$A$6:$A$41,cbo_tier_4,Scenarios!$B$6:$B$41,cbo_tier_4))*sens_segment_factor</f>
        <v/>
      </c>
      <c r="G15" s="16">
        <f>SUMIFS(Scenarios!$V$6:$V$41,Scenarios!$A$6:$A$41,cbo_tier_4,Scenarios!$B$6:$B$41,cbo_tier_4)-SUMIFS(Scenarios!$T$6:$T$41,Scenarios!$A$6:$A$41,cbo_tier_4,Scenarios!$B$6:$B$41,cbo_tier_4)+MAX(0,cbo_tier_4*sens_map_loads-free_maps)/1000*price_map_1k</f>
        <v/>
      </c>
      <c r="H15" s="16">
        <f>IF(ai_searches_per_funder=0,SUMIFS(Scenarios!$V$6:$V$41,Scenarios!$A$6:$A$41,cbo_tier_4,Scenarios!$B$6:$B$41,cbo_tier_4),SUMIFS(Scenarios!$V$6:$V$41,Scenarios!$A$6:$A$41,cbo_tier_4,Scenarios!$B$6:$B$41,cbo_tier_4)-SUMIFS(Scenarios!$N$6:$N$41,Scenarios!$A$6:$A$41,cbo_tier_4,Scenarios!$B$6:$B$41,cbo_tier_4)+SUMIFS(Scenarios!$N$6:$N$41,Scenarios!$A$6:$A$41,cbo_tier_4,Scenarios!$B$6:$B$41,cbo_tier_4)*(sens_searches/ai_searches_per_funder))</f>
        <v/>
      </c>
      <c r="I15" s="16">
        <f>SUMIFS(Scenarios!$V$6:$V$41,Scenarios!$A$6:$A$41,cbo_tier_4,Scenarios!$B$6:$B$41,cbo_tier_4)-(SUMIFS(Scenarios!$L$6:$L$41,Scenarios!$A$6:$A$41,cbo_tier_4,Scenarios!$B$6:$B$41,cbo_tier_4)+SUMIFS(Scenarios!$M$6:$M$41,Scenarios!$A$6:$A$41,cbo_tier_4,Scenarios!$B$6:$B$41,cbo_tier_4)+SUMIFS(Scenarios!$N$6:$N$41,Scenarios!$A$6:$A$41,cbo_tier_4,Scenarios!$B$6:$B$41,cbo_tier_4)+SUMIFS(Scenarios!$O$6:$O$41,Scenarios!$A$6:$A$41,cbo_tier_4,Scenarios!$B$6:$B$41,cbo_tier_4)+SUMIFS(Scenarios!$P$6:$P$41,Scenarios!$A$6:$A$41,cbo_tier_4,Scenarios!$B$6:$B$41,cbo_tier_4))+(SUMIFS(Scenarios!$L$6:$L$41,Scenarios!$A$6:$A$41,cbo_tier_4,Scenarios!$B$6:$B$41,cbo_tier_4)+SUMIFS(Scenarios!$M$6:$M$41,Scenarios!$A$6:$A$41,cbo_tier_4,Scenarios!$B$6:$B$41,cbo_tier_4)+SUMIFS(Scenarios!$N$6:$N$41,Scenarios!$A$6:$A$41,cbo_tier_4,Scenarios!$B$6:$B$41,cbo_tier_4)+SUMIFS(Scenarios!$O$6:$O$41,Scenarios!$A$6:$A$41,cbo_tier_4,Scenarios!$B$6:$B$41,cbo_tier_4)+SUMIFS(Scenarios!$P$6:$P$41,Scenarios!$A$6:$A$41,cbo_tier_4,Scenarios!$B$6:$B$41,cbo_tier_4))*sens_gemini_mult</f>
        <v/>
      </c>
    </row>
    <row r="16" ht="22" customHeight="1">
      <c r="A16" s="8">
        <f>cbo_tier_5</f>
        <v/>
      </c>
      <c r="B16" s="50">
        <f>SUMIFS(Scenarios!$V$6:$V$41,Scenarios!$A$6:$A$41,cbo_tier_5,Scenarios!$B$6:$B$41,cbo_tier_5)</f>
        <v/>
      </c>
      <c r="C16" s="11">
        <f>SUMIFS(Scenarios!$V$6:$V$41,Scenarios!$A$6:$A$41,cbo_tier_5,Scenarios!$B$6:$B$41,cbo_tier_5)-(SUMIFS(Scenarios!$I$6:$I$41,Scenarios!$A$6:$A$41,cbo_tier_5,Scenarios!$B$6:$B$41,cbo_tier_5)+SUMIFS(Scenarios!$J$6:$J$41,Scenarios!$A$6:$A$41,cbo_tier_5,Scenarios!$B$6:$B$41,cbo_tier_5)+SUMIFS(Scenarios!$P$6:$P$41,Scenarios!$A$6:$A$41,cbo_tier_5,Scenarios!$B$6:$B$41,cbo_tier_5))+(SUMIFS(Scenarios!$I$6:$I$41,Scenarios!$A$6:$A$41,cbo_tier_5,Scenarios!$B$6:$B$41,cbo_tier_5)+SUMIFS(Scenarios!$J$6:$J$41,Scenarios!$A$6:$A$41,cbo_tier_5,Scenarios!$B$6:$B$41,cbo_tier_5)+SUMIFS(Scenarios!$P$6:$P$41,Scenarios!$A$6:$A$41,cbo_tier_5,Scenarios!$B$6:$B$41,cbo_tier_5))*(sens_checkins/checkins_per_year)</f>
        <v/>
      </c>
      <c r="D16" s="11">
        <f>SUMIFS(Scenarios!$V$6:$V$41,Scenarios!$A$6:$A$41,cbo_tier_5,Scenarios!$B$6:$B$41,cbo_tier_5)-(SUMIFS(Scenarios!$I$6:$I$41,Scenarios!$A$6:$A$41,cbo_tier_5,Scenarios!$B$6:$B$41,cbo_tier_5)+SUMIFS(Scenarios!$J$6:$J$41,Scenarios!$A$6:$A$41,cbo_tier_5,Scenarios!$B$6:$B$41,cbo_tier_5)+SUMIFS(Scenarios!$P$6:$P$41,Scenarios!$A$6:$A$41,cbo_tier_5,Scenarios!$B$6:$B$41,cbo_tier_5))+(SUMIFS(Scenarios!$I$6:$I$41,Scenarios!$A$6:$A$41,cbo_tier_5,Scenarios!$B$6:$B$41,cbo_tier_5)+SUMIFS(Scenarios!$J$6:$J$41,Scenarios!$A$6:$A$41,cbo_tier_5,Scenarios!$B$6:$B$41,cbo_tier_5)+SUMIFS(Scenarios!$P$6:$P$41,Scenarios!$A$6:$A$41,cbo_tier_5,Scenarios!$B$6:$B$41,cbo_tier_5))*(sens_subscribers/subscribers_per_cbo)</f>
        <v/>
      </c>
      <c r="E16" s="11">
        <f>SUMIFS(Scenarios!$V$6:$V$41,Scenarios!$A$6:$A$41,cbo_tier_5,Scenarios!$B$6:$B$41,cbo_tier_5)-(SUMIFS(Scenarios!$I$6:$I$41,Scenarios!$A$6:$A$41,cbo_tier_5,Scenarios!$B$6:$B$41,cbo_tier_5)+SUMIFS(Scenarios!$J$6:$J$41,Scenarios!$A$6:$A$41,cbo_tier_5,Scenarios!$B$6:$B$41,cbo_tier_5)+SUMIFS(Scenarios!$P$6:$P$41,Scenarios!$A$6:$A$41,cbo_tier_5,Scenarios!$B$6:$B$41,cbo_tier_5))+(SUMIFS(Scenarios!$I$6:$I$41,Scenarios!$A$6:$A$41,cbo_tier_5,Scenarios!$B$6:$B$41,cbo_tier_5)+SUMIFS(Scenarios!$J$6:$J$41,Scenarios!$A$6:$A$41,cbo_tier_5,Scenarios!$B$6:$B$41,cbo_tier_5)+SUMIFS(Scenarios!$P$6:$P$41,Scenarios!$A$6:$A$41,cbo_tier_5,Scenarios!$B$6:$B$41,cbo_tier_5))*(sens_checkins/checkins_per_year)*(sens_subscribers/subscribers_per_cbo)</f>
        <v/>
      </c>
      <c r="F16" s="11">
        <f>SUMIFS(Scenarios!$V$6:$V$41,Scenarios!$A$6:$A$41,cbo_tier_5,Scenarios!$B$6:$B$41,cbo_tier_5)-(SUMIFS(Scenarios!$I$6:$I$41,Scenarios!$A$6:$A$41,cbo_tier_5,Scenarios!$B$6:$B$41,cbo_tier_5)+SUMIFS(Scenarios!$J$6:$J$41,Scenarios!$A$6:$A$41,cbo_tier_5,Scenarios!$B$6:$B$41,cbo_tier_5))+(SUMIFS(Scenarios!$I$6:$I$41,Scenarios!$A$6:$A$41,cbo_tier_5,Scenarios!$B$6:$B$41,cbo_tier_5)+SUMIFS(Scenarios!$J$6:$J$41,Scenarios!$A$6:$A$41,cbo_tier_5,Scenarios!$B$6:$B$41,cbo_tier_5))*sens_segment_factor</f>
        <v/>
      </c>
      <c r="G16" s="11">
        <f>SUMIFS(Scenarios!$V$6:$V$41,Scenarios!$A$6:$A$41,cbo_tier_5,Scenarios!$B$6:$B$41,cbo_tier_5)-SUMIFS(Scenarios!$T$6:$T$41,Scenarios!$A$6:$A$41,cbo_tier_5,Scenarios!$B$6:$B$41,cbo_tier_5)+MAX(0,cbo_tier_5*sens_map_loads-free_maps)/1000*price_map_1k</f>
        <v/>
      </c>
      <c r="H16" s="11">
        <f>IF(ai_searches_per_funder=0,SUMIFS(Scenarios!$V$6:$V$41,Scenarios!$A$6:$A$41,cbo_tier_5,Scenarios!$B$6:$B$41,cbo_tier_5),SUMIFS(Scenarios!$V$6:$V$41,Scenarios!$A$6:$A$41,cbo_tier_5,Scenarios!$B$6:$B$41,cbo_tier_5)-SUMIFS(Scenarios!$N$6:$N$41,Scenarios!$A$6:$A$41,cbo_tier_5,Scenarios!$B$6:$B$41,cbo_tier_5)+SUMIFS(Scenarios!$N$6:$N$41,Scenarios!$A$6:$A$41,cbo_tier_5,Scenarios!$B$6:$B$41,cbo_tier_5)*(sens_searches/ai_searches_per_funder))</f>
        <v/>
      </c>
      <c r="I16" s="11">
        <f>SUMIFS(Scenarios!$V$6:$V$41,Scenarios!$A$6:$A$41,cbo_tier_5,Scenarios!$B$6:$B$41,cbo_tier_5)-(SUMIFS(Scenarios!$L$6:$L$41,Scenarios!$A$6:$A$41,cbo_tier_5,Scenarios!$B$6:$B$41,cbo_tier_5)+SUMIFS(Scenarios!$M$6:$M$41,Scenarios!$A$6:$A$41,cbo_tier_5,Scenarios!$B$6:$B$41,cbo_tier_5)+SUMIFS(Scenarios!$N$6:$N$41,Scenarios!$A$6:$A$41,cbo_tier_5,Scenarios!$B$6:$B$41,cbo_tier_5)+SUMIFS(Scenarios!$O$6:$O$41,Scenarios!$A$6:$A$41,cbo_tier_5,Scenarios!$B$6:$B$41,cbo_tier_5)+SUMIFS(Scenarios!$P$6:$P$41,Scenarios!$A$6:$A$41,cbo_tier_5,Scenarios!$B$6:$B$41,cbo_tier_5))+(SUMIFS(Scenarios!$L$6:$L$41,Scenarios!$A$6:$A$41,cbo_tier_5,Scenarios!$B$6:$B$41,cbo_tier_5)+SUMIFS(Scenarios!$M$6:$M$41,Scenarios!$A$6:$A$41,cbo_tier_5,Scenarios!$B$6:$B$41,cbo_tier_5)+SUMIFS(Scenarios!$N$6:$N$41,Scenarios!$A$6:$A$41,cbo_tier_5,Scenarios!$B$6:$B$41,cbo_tier_5)+SUMIFS(Scenarios!$O$6:$O$41,Scenarios!$A$6:$A$41,cbo_tier_5,Scenarios!$B$6:$B$41,cbo_tier_5)+SUMIFS(Scenarios!$P$6:$P$41,Scenarios!$A$6:$A$41,cbo_tier_5,Scenarios!$B$6:$B$41,cbo_tier_5))*sens_gemini_mult</f>
        <v/>
      </c>
    </row>
    <row r="17" ht="22" customHeight="1">
      <c r="A17" s="13">
        <f>cbo_tier_6</f>
        <v/>
      </c>
      <c r="B17" s="51">
        <f>SUMIFS(Scenarios!$V$6:$V$41,Scenarios!$A$6:$A$41,cbo_tier_6,Scenarios!$B$6:$B$41,cbo_tier_6)</f>
        <v/>
      </c>
      <c r="C17" s="16">
        <f>SUMIFS(Scenarios!$V$6:$V$41,Scenarios!$A$6:$A$41,cbo_tier_6,Scenarios!$B$6:$B$41,cbo_tier_6)-(SUMIFS(Scenarios!$I$6:$I$41,Scenarios!$A$6:$A$41,cbo_tier_6,Scenarios!$B$6:$B$41,cbo_tier_6)+SUMIFS(Scenarios!$J$6:$J$41,Scenarios!$A$6:$A$41,cbo_tier_6,Scenarios!$B$6:$B$41,cbo_tier_6)+SUMIFS(Scenarios!$P$6:$P$41,Scenarios!$A$6:$A$41,cbo_tier_6,Scenarios!$B$6:$B$41,cbo_tier_6))+(SUMIFS(Scenarios!$I$6:$I$41,Scenarios!$A$6:$A$41,cbo_tier_6,Scenarios!$B$6:$B$41,cbo_tier_6)+SUMIFS(Scenarios!$J$6:$J$41,Scenarios!$A$6:$A$41,cbo_tier_6,Scenarios!$B$6:$B$41,cbo_tier_6)+SUMIFS(Scenarios!$P$6:$P$41,Scenarios!$A$6:$A$41,cbo_tier_6,Scenarios!$B$6:$B$41,cbo_tier_6))*(sens_checkins/checkins_per_year)</f>
        <v/>
      </c>
      <c r="D17" s="16">
        <f>SUMIFS(Scenarios!$V$6:$V$41,Scenarios!$A$6:$A$41,cbo_tier_6,Scenarios!$B$6:$B$41,cbo_tier_6)-(SUMIFS(Scenarios!$I$6:$I$41,Scenarios!$A$6:$A$41,cbo_tier_6,Scenarios!$B$6:$B$41,cbo_tier_6)+SUMIFS(Scenarios!$J$6:$J$41,Scenarios!$A$6:$A$41,cbo_tier_6,Scenarios!$B$6:$B$41,cbo_tier_6)+SUMIFS(Scenarios!$P$6:$P$41,Scenarios!$A$6:$A$41,cbo_tier_6,Scenarios!$B$6:$B$41,cbo_tier_6))+(SUMIFS(Scenarios!$I$6:$I$41,Scenarios!$A$6:$A$41,cbo_tier_6,Scenarios!$B$6:$B$41,cbo_tier_6)+SUMIFS(Scenarios!$J$6:$J$41,Scenarios!$A$6:$A$41,cbo_tier_6,Scenarios!$B$6:$B$41,cbo_tier_6)+SUMIFS(Scenarios!$P$6:$P$41,Scenarios!$A$6:$A$41,cbo_tier_6,Scenarios!$B$6:$B$41,cbo_tier_6))*(sens_subscribers/subscribers_per_cbo)</f>
        <v/>
      </c>
      <c r="E17" s="16">
        <f>SUMIFS(Scenarios!$V$6:$V$41,Scenarios!$A$6:$A$41,cbo_tier_6,Scenarios!$B$6:$B$41,cbo_tier_6)-(SUMIFS(Scenarios!$I$6:$I$41,Scenarios!$A$6:$A$41,cbo_tier_6,Scenarios!$B$6:$B$41,cbo_tier_6)+SUMIFS(Scenarios!$J$6:$J$41,Scenarios!$A$6:$A$41,cbo_tier_6,Scenarios!$B$6:$B$41,cbo_tier_6)+SUMIFS(Scenarios!$P$6:$P$41,Scenarios!$A$6:$A$41,cbo_tier_6,Scenarios!$B$6:$B$41,cbo_tier_6))+(SUMIFS(Scenarios!$I$6:$I$41,Scenarios!$A$6:$A$41,cbo_tier_6,Scenarios!$B$6:$B$41,cbo_tier_6)+SUMIFS(Scenarios!$J$6:$J$41,Scenarios!$A$6:$A$41,cbo_tier_6,Scenarios!$B$6:$B$41,cbo_tier_6)+SUMIFS(Scenarios!$P$6:$P$41,Scenarios!$A$6:$A$41,cbo_tier_6,Scenarios!$B$6:$B$41,cbo_tier_6))*(sens_checkins/checkins_per_year)*(sens_subscribers/subscribers_per_cbo)</f>
        <v/>
      </c>
      <c r="F17" s="16">
        <f>SUMIFS(Scenarios!$V$6:$V$41,Scenarios!$A$6:$A$41,cbo_tier_6,Scenarios!$B$6:$B$41,cbo_tier_6)-(SUMIFS(Scenarios!$I$6:$I$41,Scenarios!$A$6:$A$41,cbo_tier_6,Scenarios!$B$6:$B$41,cbo_tier_6)+SUMIFS(Scenarios!$J$6:$J$41,Scenarios!$A$6:$A$41,cbo_tier_6,Scenarios!$B$6:$B$41,cbo_tier_6))+(SUMIFS(Scenarios!$I$6:$I$41,Scenarios!$A$6:$A$41,cbo_tier_6,Scenarios!$B$6:$B$41,cbo_tier_6)+SUMIFS(Scenarios!$J$6:$J$41,Scenarios!$A$6:$A$41,cbo_tier_6,Scenarios!$B$6:$B$41,cbo_tier_6))*sens_segment_factor</f>
        <v/>
      </c>
      <c r="G17" s="16">
        <f>SUMIFS(Scenarios!$V$6:$V$41,Scenarios!$A$6:$A$41,cbo_tier_6,Scenarios!$B$6:$B$41,cbo_tier_6)-SUMIFS(Scenarios!$T$6:$T$41,Scenarios!$A$6:$A$41,cbo_tier_6,Scenarios!$B$6:$B$41,cbo_tier_6)+MAX(0,cbo_tier_6*sens_map_loads-free_maps)/1000*price_map_1k</f>
        <v/>
      </c>
      <c r="H17" s="16">
        <f>IF(ai_searches_per_funder=0,SUMIFS(Scenarios!$V$6:$V$41,Scenarios!$A$6:$A$41,cbo_tier_6,Scenarios!$B$6:$B$41,cbo_tier_6),SUMIFS(Scenarios!$V$6:$V$41,Scenarios!$A$6:$A$41,cbo_tier_6,Scenarios!$B$6:$B$41,cbo_tier_6)-SUMIFS(Scenarios!$N$6:$N$41,Scenarios!$A$6:$A$41,cbo_tier_6,Scenarios!$B$6:$B$41,cbo_tier_6)+SUMIFS(Scenarios!$N$6:$N$41,Scenarios!$A$6:$A$41,cbo_tier_6,Scenarios!$B$6:$B$41,cbo_tier_6)*(sens_searches/ai_searches_per_funder))</f>
        <v/>
      </c>
      <c r="I17" s="16">
        <f>SUMIFS(Scenarios!$V$6:$V$41,Scenarios!$A$6:$A$41,cbo_tier_6,Scenarios!$B$6:$B$41,cbo_tier_6)-(SUMIFS(Scenarios!$L$6:$L$41,Scenarios!$A$6:$A$41,cbo_tier_6,Scenarios!$B$6:$B$41,cbo_tier_6)+SUMIFS(Scenarios!$M$6:$M$41,Scenarios!$A$6:$A$41,cbo_tier_6,Scenarios!$B$6:$B$41,cbo_tier_6)+SUMIFS(Scenarios!$N$6:$N$41,Scenarios!$A$6:$A$41,cbo_tier_6,Scenarios!$B$6:$B$41,cbo_tier_6)+SUMIFS(Scenarios!$O$6:$O$41,Scenarios!$A$6:$A$41,cbo_tier_6,Scenarios!$B$6:$B$41,cbo_tier_6)+SUMIFS(Scenarios!$P$6:$P$41,Scenarios!$A$6:$A$41,cbo_tier_6,Scenarios!$B$6:$B$41,cbo_tier_6))+(SUMIFS(Scenarios!$L$6:$L$41,Scenarios!$A$6:$A$41,cbo_tier_6,Scenarios!$B$6:$B$41,cbo_tier_6)+SUMIFS(Scenarios!$M$6:$M$41,Scenarios!$A$6:$A$41,cbo_tier_6,Scenarios!$B$6:$B$41,cbo_tier_6)+SUMIFS(Scenarios!$N$6:$N$41,Scenarios!$A$6:$A$41,cbo_tier_6,Scenarios!$B$6:$B$41,cbo_tier_6)+SUMIFS(Scenarios!$O$6:$O$41,Scenarios!$A$6:$A$41,cbo_tier_6,Scenarios!$B$6:$B$41,cbo_tier_6)+SUMIFS(Scenarios!$P$6:$P$41,Scenarios!$A$6:$A$41,cbo_tier_6,Scenarios!$B$6:$B$41,cbo_tier_6))*sens_gemini_mult</f>
        <v/>
      </c>
    </row>
    <row r="19">
      <c r="A19" s="3" t="inlineStr">
        <is>
          <t>What this is showing</t>
        </is>
      </c>
    </row>
    <row r="20" ht="30" customHeight="1">
      <c r="A20" s="58" t="inlineStr">
        <is>
          <t>SMS is the line that compounds. Check-ins and panel size multiply. A monthly check-in with a larger panel is several times the base bill, while the same organizations cost little extra on Maps or Gemini if search stays capped and the map loads once per visit. Heavier map use stays free until a tier passes 10,000 loads. At 30 loads per funder, 200 funders are still inside the allowance and 500 funders cross it, at $7 per extra thousand loads. A higher Gemini price raises the AI columns and still leaves SMS as the larger number at community-scale texting.</t>
        </is>
      </c>
    </row>
    <row r="21" ht="30" customHeight="1"/>
    <row r="22" ht="30" customHeight="1"/>
  </sheetData>
  <mergeCells count="9">
    <mergeCell ref="A20:I22"/>
    <mergeCell ref="C5:E5"/>
    <mergeCell ref="C8:E8"/>
    <mergeCell ref="C9:E9"/>
    <mergeCell ref="C4:E4"/>
    <mergeCell ref="A2:G2"/>
    <mergeCell ref="C3:E3"/>
    <mergeCell ref="C7:E7"/>
    <mergeCell ref="C6:E6"/>
  </mergeCells>
  <conditionalFormatting sqref="B12:I17">
    <cfRule type="colorScale" priority="1">
      <colorScale>
        <cfvo type="min"/>
        <cfvo type="percentile" val="50"/>
        <cfvo type="max"/>
        <color rgb="00E7F3F1"/>
        <color rgb="00F6E7C1"/>
        <color rgb="00E39B88"/>
      </colorScale>
    </cfRule>
  </conditionalFormatting>
  <pageMargins left="0.5" right="0.5" top="0.7" bottom="0.6" header="0.5" footer="0.5"/>
  <pageSetup orientation="landscape" paperSize="3" fitToHeight="1" fitToWidth="1"/>
  <headerFooter>
    <oddHeader>&amp;LKumbu Connect  ·  production cost model</oddHeader>
    <oddFooter>&amp;LPlanning estimates from public list prices. Not an invoice.&amp;RPage &amp;P</oddFooter>
    <evenHeader/>
    <evenFooter/>
    <firstHeader/>
    <firstFooter/>
  </headerFooter>
</worksheet>
</file>

<file path=xl/worksheets/sheet9.xml><?xml version="1.0" encoding="utf-8"?>
<worksheet xmlns="http://schemas.openxmlformats.org/spreadsheetml/2006/main">
  <sheetPr>
    <tabColor rgb="006B5B95"/>
    <outlinePr summaryBelow="1" summaryRight="1"/>
    <pageSetUpPr fitToPage="1"/>
  </sheetPr>
  <dimension ref="A1:H21"/>
  <sheetViews>
    <sheetView showGridLines="0" zoomScale="110" workbookViewId="0">
      <pane ySplit="10" topLeftCell="A11" activePane="bottomLeft" state="frozen"/>
      <selection pane="bottomLeft" activeCell="A1" sqref="A1"/>
    </sheetView>
  </sheetViews>
  <sheetFormatPr baseColWidth="8" defaultRowHeight="15"/>
  <cols>
    <col width="28" customWidth="1" min="1" max="1"/>
    <col width="18" customWidth="1" min="2" max="2"/>
    <col width="16" customWidth="1" min="3" max="3"/>
    <col width="20" customWidth="1" min="4" max="4"/>
    <col width="18" customWidth="1" min="5" max="5"/>
    <col width="20" customWidth="1" min="6" max="6"/>
    <col width="26" customWidth="1" min="7" max="7"/>
    <col width="28" customWidth="1" min="8" max="8"/>
    <col width="26" customWidth="1" min="9" max="9"/>
  </cols>
  <sheetData>
    <row r="1">
      <c r="A1" s="1" t="inlineStr">
        <is>
          <t>Cost to arrive at a size</t>
        </is>
      </c>
    </row>
    <row r="2" ht="32" customHeight="1">
      <c r="A2" s="2" t="inlineStr">
        <is>
          <t>Signup is a Google Form or the in-app form, plus one short SMS with the link. That text is about $0.31. The form, and a QR code with no text, cost $0. These amounts are paid once per CBO. They are not in the monthly matrices. Community check-in texts are unchanged.</t>
        </is>
      </c>
    </row>
    <row r="4">
      <c r="A4" s="3" t="inlineStr">
        <is>
          <t>Per new CBO, from Unit costs</t>
        </is>
      </c>
    </row>
    <row r="5">
      <c r="A5" s="59" t="inlineStr">
        <is>
          <t>Onboarding SMS</t>
        </is>
      </c>
      <c r="B5" s="37">
        <f>onboard_sms_per_cbo</f>
        <v/>
      </c>
    </row>
    <row r="6">
      <c r="A6" s="59" t="inlineStr">
        <is>
          <t>First document batch</t>
        </is>
      </c>
      <c r="B6" s="37">
        <f>initial_docs_per_cbo</f>
        <v/>
      </c>
    </row>
    <row r="7">
      <c r="A7" s="59" t="inlineStr">
        <is>
          <t>First web-research pass</t>
        </is>
      </c>
      <c r="B7" s="37">
        <f>initial_research_per_cbo</f>
        <v/>
      </c>
    </row>
    <row r="8">
      <c r="A8" s="60" t="inlineStr">
        <is>
          <t>Total to join</t>
        </is>
      </c>
      <c r="B8" s="61">
        <f>onetime_per_cbo</f>
        <v/>
      </c>
    </row>
    <row r="10" ht="40" customHeight="1">
      <c r="A10" s="7" t="inlineStr">
        <is>
          <t>CBOs already on the platform</t>
        </is>
      </c>
      <c r="B10" s="7" t="inlineStr">
        <is>
          <t>New CBOs since the prior tier</t>
        </is>
      </c>
      <c r="C10" s="7" t="inlineStr">
        <is>
          <t>One-time cost of those new CBOs</t>
        </is>
      </c>
      <c r="D10" s="7" t="inlineStr">
        <is>
          <t>Cumulative one-time from zero</t>
        </is>
      </c>
      <c r="E10" s="7" t="inlineStr">
        <is>
          <t>Monthly run-rate at this size</t>
        </is>
      </c>
      <c r="F10" s="7" t="inlineStr">
        <is>
          <t>Cash in a month that also pays the one-time catch-up</t>
        </is>
      </c>
      <c r="G10" s="7" t="inlineStr">
        <is>
          <t>Of which SMS onboarding</t>
        </is>
      </c>
    </row>
    <row r="11" ht="22" customHeight="1">
      <c r="A11" s="8">
        <f>cbo_tier_1</f>
        <v/>
      </c>
      <c r="B11" s="8">
        <f>A11</f>
        <v/>
      </c>
      <c r="C11" s="11">
        <f>B11*onetime_per_cbo</f>
        <v/>
      </c>
      <c r="D11" s="11">
        <f>A11*onetime_per_cbo</f>
        <v/>
      </c>
      <c r="E11" s="11">
        <f>SUMIFS(Scenarios!$V$6:$V$41,Scenarios!$A$6:$A$41,cbo_tier_1,Scenarios!$B$6:$B$41,cbo_tier_1)</f>
        <v/>
      </c>
      <c r="F11" s="50">
        <f>C11+E11</f>
        <v/>
      </c>
      <c r="G11" s="11">
        <f>B11*onboard_sms_per_cbo</f>
        <v/>
      </c>
    </row>
    <row r="12" ht="22" customHeight="1">
      <c r="A12" s="13">
        <f>cbo_tier_2</f>
        <v/>
      </c>
      <c r="B12" s="13">
        <f>A12-A11</f>
        <v/>
      </c>
      <c r="C12" s="16">
        <f>B12*onetime_per_cbo</f>
        <v/>
      </c>
      <c r="D12" s="16">
        <f>A12*onetime_per_cbo</f>
        <v/>
      </c>
      <c r="E12" s="16">
        <f>SUMIFS(Scenarios!$V$6:$V$41,Scenarios!$A$6:$A$41,cbo_tier_2,Scenarios!$B$6:$B$41,cbo_tier_2)</f>
        <v/>
      </c>
      <c r="F12" s="51">
        <f>C12+E12</f>
        <v/>
      </c>
      <c r="G12" s="16">
        <f>B12*onboard_sms_per_cbo</f>
        <v/>
      </c>
    </row>
    <row r="13" ht="22" customHeight="1">
      <c r="A13" s="8">
        <f>cbo_tier_3</f>
        <v/>
      </c>
      <c r="B13" s="8">
        <f>A13-A12</f>
        <v/>
      </c>
      <c r="C13" s="11">
        <f>B13*onetime_per_cbo</f>
        <v/>
      </c>
      <c r="D13" s="11">
        <f>A13*onetime_per_cbo</f>
        <v/>
      </c>
      <c r="E13" s="11">
        <f>SUMIFS(Scenarios!$V$6:$V$41,Scenarios!$A$6:$A$41,cbo_tier_3,Scenarios!$B$6:$B$41,cbo_tier_3)</f>
        <v/>
      </c>
      <c r="F13" s="50">
        <f>C13+E13</f>
        <v/>
      </c>
      <c r="G13" s="11">
        <f>B13*onboard_sms_per_cbo</f>
        <v/>
      </c>
    </row>
    <row r="14" ht="22" customHeight="1">
      <c r="A14" s="13">
        <f>cbo_tier_4</f>
        <v/>
      </c>
      <c r="B14" s="13">
        <f>A14-A13</f>
        <v/>
      </c>
      <c r="C14" s="16">
        <f>B14*onetime_per_cbo</f>
        <v/>
      </c>
      <c r="D14" s="16">
        <f>A14*onetime_per_cbo</f>
        <v/>
      </c>
      <c r="E14" s="16">
        <f>SUMIFS(Scenarios!$V$6:$V$41,Scenarios!$A$6:$A$41,cbo_tier_4,Scenarios!$B$6:$B$41,cbo_tier_4)</f>
        <v/>
      </c>
      <c r="F14" s="51">
        <f>C14+E14</f>
        <v/>
      </c>
      <c r="G14" s="16">
        <f>B14*onboard_sms_per_cbo</f>
        <v/>
      </c>
    </row>
    <row r="15" ht="22" customHeight="1">
      <c r="A15" s="8">
        <f>cbo_tier_5</f>
        <v/>
      </c>
      <c r="B15" s="8">
        <f>A15-A14</f>
        <v/>
      </c>
      <c r="C15" s="11">
        <f>B15*onetime_per_cbo</f>
        <v/>
      </c>
      <c r="D15" s="11">
        <f>A15*onetime_per_cbo</f>
        <v/>
      </c>
      <c r="E15" s="11">
        <f>SUMIFS(Scenarios!$V$6:$V$41,Scenarios!$A$6:$A$41,cbo_tier_5,Scenarios!$B$6:$B$41,cbo_tier_5)</f>
        <v/>
      </c>
      <c r="F15" s="50">
        <f>C15+E15</f>
        <v/>
      </c>
      <c r="G15" s="11">
        <f>B15*onboard_sms_per_cbo</f>
        <v/>
      </c>
    </row>
    <row r="16" ht="22" customHeight="1">
      <c r="A16" s="13">
        <f>cbo_tier_6</f>
        <v/>
      </c>
      <c r="B16" s="13">
        <f>A16-A15</f>
        <v/>
      </c>
      <c r="C16" s="16">
        <f>B16*onetime_per_cbo</f>
        <v/>
      </c>
      <c r="D16" s="16">
        <f>A16*onetime_per_cbo</f>
        <v/>
      </c>
      <c r="E16" s="16">
        <f>SUMIFS(Scenarios!$V$6:$V$41,Scenarios!$A$6:$A$41,cbo_tier_6,Scenarios!$B$6:$B$41,cbo_tier_6)</f>
        <v/>
      </c>
      <c r="F16" s="51">
        <f>C16+E16</f>
        <v/>
      </c>
      <c r="G16" s="16">
        <f>B16*onboard_sms_per_cbo</f>
        <v/>
      </c>
    </row>
    <row r="18">
      <c r="A18" s="3" t="inlineStr">
        <is>
          <t>How to use this</t>
        </is>
      </c>
    </row>
    <row r="19" ht="24" customHeight="1">
      <c r="A19" s="58" t="inlineStr">
        <is>
          <t>Each new CBO is counted as one link text plus a 10-page document backlog. Google Forms and the in-app form are $0. Set onboarding texts to 0 on Assumptions when people open a QR code or a link with no SMS. The cash column is only for a month in which that whole step joins at once. A slow drip of new CBOs spreads the one-time amount across months and adds it to the rising monthly run-rate. Geocoding and the first web searches for these tiers stay inside the free quotas, so they are not given a dollar line. Public facts are confirmed on the profile page, not by a long reply-YES text.</t>
        </is>
      </c>
    </row>
    <row r="20" ht="24" customHeight="1"/>
    <row r="21" ht="24" customHeight="1"/>
  </sheetData>
  <mergeCells count="2">
    <mergeCell ref="A19:G21"/>
    <mergeCell ref="A2:H2"/>
  </mergeCells>
  <pageMargins left="0.5" right="0.5" top="0.7" bottom="0.6" header="0.5" footer="0.5"/>
  <pageSetup orientation="landscape" paperSize="3" fitToHeight="1" fitToWidth="1"/>
  <headerFooter>
    <oddHeader>&amp;LKumbu Connect  ·  production cost model</oddHeader>
    <oddFooter>&amp;LPlanning estimates from public list prices. Not an invoice.&amp;RPage &amp;P</oddFooter>
    <evenHeader/>
    <evenFooter/>
    <firstHeader/>
    <firstFooter/>
  </headerFooter>
</worksheet>
</file>

<file path=xl/worksheets/sheet10.xml><?xml version="1.0" encoding="utf-8"?>
<worksheet xmlns="http://schemas.openxmlformats.org/spreadsheetml/2006/main">
  <sheetPr>
    <tabColor rgb="007BA39A"/>
    <outlinePr summaryBelow="1" summaryRight="1"/>
    <pageSetUpPr fitToPage="1"/>
  </sheetPr>
  <dimension ref="B1:C14"/>
  <sheetViews>
    <sheetView showGridLines="0" zoomScale="11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10" customWidth="1" min="3" max="3"/>
  </cols>
  <sheetData>
    <row r="1">
      <c r="B1" s="1" t="inlineStr">
        <is>
          <t>Notes and boundaries</t>
        </is>
      </c>
    </row>
    <row r="2" ht="32" customHeight="1">
      <c r="B2" s="2" t="inlineStr">
        <is>
          <t>Planning rates for a live production deployment. Figures are public list prices around September 2026, in US dollars, and they move. Replace any yellow price on Assumptions with the rate in the vendor console.</t>
        </is>
      </c>
    </row>
    <row r="4" ht="62" customHeight="1">
      <c r="B4" s="62" t="inlineStr">
        <is>
          <t>What is included</t>
        </is>
      </c>
      <c r="C4" s="63" t="inlineStr">
        <is>
          <t>Cloud SQL Postgres, Cloud Run, Secret Manager, container storage, a domain allowance, Firebase/Cloud Storage, Firestore mirrors, one Twilio US number, SMS to Kenya, Azure Document Intelligence layout, Gemini for documents, research, SMS parsing, and marketplace search, OpenAI for occasional funding audits, Google Custom Search, Maps JavaScript loads, and Geocoding.</t>
        </is>
      </c>
    </row>
    <row r="5" ht="62" customHeight="1">
      <c r="B5" s="62" t="inlineStr">
        <is>
          <t>What is priced at zero on purpose</t>
        </is>
      </c>
      <c r="C5" s="63" t="inlineStr">
        <is>
          <t>KoboToolbox on the public server, Google Forms, Google sign-in, in-app funder–CBO messages, Claude (unless you type a per-CBO amount), DuckDuckGo as a search fallback, and GitHub Actions within the free tier. Idle Cloud Run is free because minimum instances stay at 0.</t>
        </is>
      </c>
    </row>
    <row r="6" ht="62" customHeight="1">
      <c r="B6" s="62" t="inlineStr">
        <is>
          <t>SMS</t>
        </is>
      </c>
      <c r="C6" s="63" t="inlineStr">
        <is>
          <t>Kenya outbound is about $0.3134 per segment on Twilio's published rate. A segment is roughly 160 characters. Monthly SMS is the community check-in: one opening text to each panel member twice a year, then three short follow-ups only if they finish. Signup is separate and cheaper: one link text to a Google Form or the in-app form, about $0.31, or $0 if they use a QR code. The multi-step onboarding conversation and the public-facts text are not in the model. Inbound replies are priced as US messages. Community members pay their own airtime to text in.</t>
        </is>
      </c>
    </row>
    <row r="7" ht="62" customHeight="1">
      <c r="B7" s="62" t="inlineStr">
        <is>
          <t>Database steps</t>
        </is>
      </c>
      <c r="C7" s="63" t="inlineStr">
        <is>
          <t>Under 200 active users on both sides: about $12 a month. Either side at 200: about $32. Either side at 500: about $65. Those are single-zone instances with disk and backups, not a hot standby. A high-availability instance is commonly close to double the database line and is excluded.</t>
        </is>
      </c>
    </row>
    <row r="8" ht="62" customHeight="1">
      <c r="B8" s="62" t="inlineStr">
        <is>
          <t>Free tiers that hold through 500 × 500</t>
        </is>
      </c>
      <c r="C8" s="63" t="inlineStr">
        <is>
          <t>At the default activity rates, Maps (10,000 loads), Custom Search (about 3,000 queries), Firestore, and Cloud Run's CPU allowance are not exhausted. The headroom columns on Scenarios show map loads, search queries, and vCPU-seconds. Sensitivity shows the map and Gemini cases that start to spend money.</t>
        </is>
      </c>
    </row>
    <row r="9" ht="62" customHeight="1">
      <c r="B9" s="62" t="inlineStr">
        <is>
          <t>Why funders barely move the total</t>
        </is>
      </c>
      <c r="C9" s="63" t="inlineStr">
        <is>
          <t>Funder search ranks a shortlist, so its token cost does not grow with the full CBO count. Map pins are geocoded once. In-app conversation is just web traffic. The funder side does raise the database step when it crosses 200 or 500, even if there are few CBOs.</t>
        </is>
      </c>
    </row>
    <row r="10" ht="62" customHeight="1">
      <c r="B10" s="62" t="inlineStr">
        <is>
          <t>Why CBOs move the total</t>
        </is>
      </c>
      <c r="C10" s="63" t="inlineStr">
        <is>
          <t>Each active CBO adds a predictable SMS amount every month, plus a few cents to a few dimes of document reading. That SMS amount scales with panel size, check-in frequency, completion, and whether texts stay inside one segment.</t>
        </is>
      </c>
    </row>
    <row r="11" ht="62" customHeight="1">
      <c r="B11" s="62" t="inlineStr">
        <is>
          <t>Efficient choices behind the base case</t>
        </is>
      </c>
      <c r="C11" s="63" t="inlineStr">
        <is>
          <t>No always-on app server. CBO signup is a form plus at most one SMS link, not a multi-step text conversation. Document AI is Flash-class, and Azure does the table read. Marketplace ranking does not send every profile to the model. Web research is cached for 45 days and confirmed on the profile, not over SMS. Check-ins stay on the 6-month cycle. Community SMS goes to a panel of 8, not an entire beneficiary list. Claude stays off.</t>
        </is>
      </c>
    </row>
    <row r="12" ht="62" customHeight="1">
      <c r="B12" s="62" t="inlineStr">
        <is>
          <t>Not a full operating budget</t>
        </is>
      </c>
      <c r="C12" s="63" t="inlineStr">
        <is>
          <t>Staff time, field travel, translation, training, phones, legal review, Kenya Data Protection Act compliance, and airtime paid by community members are outside this workbook. So are a staging environment, a second region, and premium support plans.</t>
        </is>
      </c>
    </row>
    <row r="13" ht="62" customHeight="1">
      <c r="B13" s="62" t="inlineStr">
        <is>
          <t>Price sources</t>
        </is>
      </c>
      <c r="C13" s="63" t="inlineStr">
        <is>
          <t>Twilio Kenya outbound and US number rental; Azure Document Intelligence prebuilt layout at $10 per 1,000 pages; Google Maps Dynamic Maps at $7 per 1,000 after 10,000 free, Geocoding at $5 per 1,000 after 10,000 free; Custom Search JSON API at $5 per 1,000 after 100 free queries a day; Gemini Flash-class tokens at $0.30 / $2.50 per million; OpenAI GPT-4.1 class at $2 / $8 per million; Cloud Run request-based CPU, memory, and request free tier; Cloud SQL shared-core examples in the low tens of dollars; Firestore and Cloud Storage free quotas then standard rates. The large-database figure is a planning allowance, not a machine-type quote.</t>
        </is>
      </c>
    </row>
    <row r="14" ht="62" customHeight="1">
      <c r="B14" s="62" t="inlineStr">
        <is>
          <t>How to refresh the model</t>
        </is>
      </c>
      <c r="C14" s="63" t="inlineStr">
        <is>
          <t>Edit yellow cells on Assumptions. Tiers, prices, panel size, and pages per CBO flow through Unit costs, Scenarios, both matrices, Matched growth, and One-time setup. Sensitivity has its own yellow alternates.</t>
        </is>
      </c>
    </row>
  </sheetData>
  <mergeCells count="1">
    <mergeCell ref="B2:C2"/>
  </mergeCells>
  <pageMargins left="0.5" right="0.5" top="0.7" bottom="0.6" header="0.5" footer="0.5"/>
  <pageSetup orientation="landscape" paperSize="3" fitToHeight="2" fitToWidth="1"/>
  <headerFooter>
    <oddHeader>&amp;LKumbu Connect  ·  production cost model</oddHeader>
    <oddFooter>&amp;LPlanning estimates from public list prices. Not an invoice.&amp;RPage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Kumbu Connect</dc:creator>
  <dc:title xmlns:dc="http://purl.org/dc/elements/1.1/">Kumbu Connect production cost projections</dc:title>
  <dc:subject xmlns:dc="http://purl.org/dc/elements/1.1/">Monthly cost by active CBOs and active funders</dc:subject>
  <dcterms:created xmlns:dcterms="http://purl.org/dc/terms/" xmlns:xsi="http://www.w3.org/2001/XMLSchema-instance" xsi:type="dcterms:W3CDTF">2026-09-22T13:55:32Z</dcterms:created>
  <dcterms:modified xmlns:dcterms="http://purl.org/dc/terms/" xmlns:xsi="http://www.w3.org/2001/XMLSchema-instance" xsi:type="dcterms:W3CDTF">2026-09-22T13:55:32Z</dcterms:modified>
  <cp:category>Cost model</cp:category>
</cp:coreProperties>
</file>